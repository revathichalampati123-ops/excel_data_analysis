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anes\Downloads\alabs practice pdfs\"/>
    </mc:Choice>
  </mc:AlternateContent>
  <xr:revisionPtr revIDLastSave="0" documentId="8_{AC64CD08-61A3-4678-BC0A-031B51B4D4A0}" xr6:coauthVersionLast="47" xr6:coauthVersionMax="47" xr10:uidLastSave="{00000000-0000-0000-0000-000000000000}"/>
  <bookViews>
    <workbookView xWindow="-108" yWindow="-108" windowWidth="23256" windowHeight="12456" xr2:uid="{2CB5B722-55F8-4CF1-AD8F-53410F3AE28D}"/>
  </bookViews>
  <sheets>
    <sheet name="summarry" sheetId="7" r:id="rId1"/>
    <sheet name="product data entry" sheetId="2" r:id="rId2"/>
    <sheet name="dashboard" sheetId="6" r:id="rId3"/>
    <sheet name="product details" sheetId="4" r:id="rId4"/>
    <sheet name="Sales block" sheetId="5" r:id="rId5"/>
  </sheets>
  <externalReferences>
    <externalReference r:id="rId6"/>
  </externalReferences>
  <definedNames>
    <definedName name="_xlnm._FilterDatabase" localSheetId="1" hidden="1">'product data entry'!$F$1:$F$51</definedName>
    <definedName name="tot_table">'product data entry'!$A$1:$H$51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" i="5" l="1"/>
  <c r="C20" i="5"/>
  <c r="K17" i="5"/>
  <c r="K12" i="7"/>
  <c r="C18" i="5"/>
  <c r="B13" i="5" l="1" a="1"/>
  <c r="B13" i="5"/>
  <c r="C12" i="5"/>
  <c r="C10" i="5"/>
  <c r="C9" i="5"/>
  <c r="C6" i="5"/>
  <c r="C7" i="5"/>
  <c r="C5" i="5"/>
  <c r="C4" i="5"/>
  <c r="C3" i="5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2" i="7"/>
  <c r="L4" i="4"/>
  <c r="L5" i="4"/>
  <c r="L3" i="4"/>
  <c r="K2" i="4" a="1"/>
  <c r="K2" i="4" s="1"/>
  <c r="C2" i="5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18" i="4"/>
  <c r="J19" i="4"/>
  <c r="J20" i="4"/>
  <c r="J21" i="4"/>
  <c r="J22" i="4"/>
  <c r="J23" i="4"/>
  <c r="J17" i="4"/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2" i="2"/>
  <c r="B16" i="4" l="1"/>
  <c r="B17" i="4"/>
  <c r="B18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<sst xmlns="http://schemas.openxmlformats.org/spreadsheetml/2006/main" count="199" uniqueCount="86">
  <si>
    <t>Date</t>
  </si>
  <si>
    <t>mobile</t>
  </si>
  <si>
    <t>laptop</t>
  </si>
  <si>
    <t>headphones</t>
  </si>
  <si>
    <t>mouse</t>
  </si>
  <si>
    <t>electronics</t>
  </si>
  <si>
    <t>accessories</t>
  </si>
  <si>
    <t>keyboard</t>
  </si>
  <si>
    <t>pendrive</t>
  </si>
  <si>
    <t>smartwatch</t>
  </si>
  <si>
    <t>storage</t>
  </si>
  <si>
    <t>category</t>
  </si>
  <si>
    <t>Product name</t>
  </si>
  <si>
    <t>Quantity</t>
  </si>
  <si>
    <t>Price</t>
  </si>
  <si>
    <t>Total amount</t>
  </si>
  <si>
    <t>Category</t>
  </si>
  <si>
    <t>dell</t>
  </si>
  <si>
    <t>realme</t>
  </si>
  <si>
    <t>hp</t>
  </si>
  <si>
    <t>iphone</t>
  </si>
  <si>
    <t>wearfit</t>
  </si>
  <si>
    <t>70gb</t>
  </si>
  <si>
    <t>samsung</t>
  </si>
  <si>
    <t>produt model</t>
  </si>
  <si>
    <t>product model</t>
  </si>
  <si>
    <t>product name</t>
  </si>
  <si>
    <t>Electronics</t>
  </si>
  <si>
    <t>sales</t>
  </si>
  <si>
    <t>Laptop</t>
  </si>
  <si>
    <t>Headphones</t>
  </si>
  <si>
    <t>Keyboard</t>
  </si>
  <si>
    <t>Mobile</t>
  </si>
  <si>
    <t>Smartwatch</t>
  </si>
  <si>
    <t>Mouse</t>
  </si>
  <si>
    <t>product sales</t>
  </si>
  <si>
    <t>Reference table</t>
  </si>
  <si>
    <t>Total revenue</t>
  </si>
  <si>
    <t>actual revenue</t>
  </si>
  <si>
    <t xml:space="preserve">deficit </t>
  </si>
  <si>
    <t>expected revenue by today</t>
  </si>
  <si>
    <t>Daily average</t>
  </si>
  <si>
    <t>daily average</t>
  </si>
  <si>
    <t>current</t>
  </si>
  <si>
    <t>Projections</t>
  </si>
  <si>
    <t xml:space="preserve">Revenue I'll complete at this rate </t>
  </si>
  <si>
    <t>Current status</t>
  </si>
  <si>
    <t>sales block</t>
  </si>
  <si>
    <t>Month name</t>
  </si>
  <si>
    <t>Day count</t>
  </si>
  <si>
    <t xml:space="preserve">Total available </t>
  </si>
  <si>
    <t>elapsed</t>
  </si>
  <si>
    <t>remaining</t>
  </si>
  <si>
    <t xml:space="preserve">Target sales </t>
  </si>
  <si>
    <t xml:space="preserve">target revenue per day </t>
  </si>
  <si>
    <t>platinum</t>
  </si>
  <si>
    <t>silver</t>
  </si>
  <si>
    <t>revenue target table</t>
  </si>
  <si>
    <t>total target</t>
  </si>
  <si>
    <t>total days</t>
  </si>
  <si>
    <t>Sales</t>
  </si>
  <si>
    <t>Order_id</t>
  </si>
  <si>
    <t>Customer_Reviews</t>
  </si>
  <si>
    <t>Quality</t>
  </si>
  <si>
    <t>High</t>
  </si>
  <si>
    <t>&gt;4</t>
  </si>
  <si>
    <t>Medium</t>
  </si>
  <si>
    <t>Low</t>
  </si>
  <si>
    <t>&lt;3</t>
  </si>
  <si>
    <t>&gt;=3</t>
  </si>
  <si>
    <t xml:space="preserve">Actual  revenue per day </t>
  </si>
  <si>
    <t>deficit&lt;150000</t>
  </si>
  <si>
    <t>deficit&gt;150000</t>
  </si>
  <si>
    <t>Coverage</t>
  </si>
  <si>
    <t>Rank</t>
  </si>
  <si>
    <t>Trading sales</t>
  </si>
  <si>
    <t>percentage</t>
  </si>
  <si>
    <t>Overall trades</t>
  </si>
  <si>
    <t>Trading scale</t>
  </si>
  <si>
    <t xml:space="preserve">                                        Trading percentage </t>
  </si>
  <si>
    <t>trading percentage</t>
  </si>
  <si>
    <t>rank</t>
  </si>
  <si>
    <t>silver jubli</t>
  </si>
  <si>
    <t>golden jubli</t>
  </si>
  <si>
    <t>&gt;30</t>
  </si>
  <si>
    <t>&lt;30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</si>
</sst>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45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8" xfId="0" applyBorder="1"/>
    <xf numFmtId="0" fontId="0" fillId="0" borderId="7" xfId="0" applyBorder="1"/>
    <xf numFmtId="0" fontId="4" fillId="0" borderId="7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" xfId="0" applyFill="1" applyBorder="1"/>
    <xf numFmtId="0" fontId="0" fillId="3" borderId="1" xfId="0" applyFill="1" applyBorder="1"/>
    <xf numFmtId="0" fontId="7" fillId="4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Fill="1" applyBorder="1"/>
    <xf numFmtId="0" fontId="5" fillId="7" borderId="13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4" fillId="0" borderId="17" xfId="2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3" applyFont="1"/>
    <xf numFmtId="2" fontId="0" fillId="0" borderId="0" xfId="3" applyNumberFormat="1" applyFont="1"/>
  </cellXfs>
  <cellStyles count="4">
    <cellStyle name="Normal" xfId="0" builtinId="0"/>
    <cellStyle name="Normal 2" xfId="1" xr:uid="{F0548595-90DB-4FE9-BA2F-F958BC4DABB6}"/>
    <cellStyle name="Percent" xfId="3" builtinId="5"/>
    <cellStyle name="Percent 2" xfId="2" xr:uid="{F35FBB24-4A02-4D0B-AA0F-3CB8199D37CD}"/>
  </cellStyles>
  <dxfs count="17">
    <dxf>
      <fill>
        <patternFill>
          <bgColor theme="7" tint="0.79998168889431442"/>
        </patternFill>
      </fill>
    </dxf>
    <dxf>
      <fill>
        <patternFill>
          <bgColor theme="5" tint="0.39994506668294322"/>
        </patternFill>
      </fill>
    </dxf>
    <dxf>
      <font>
        <color theme="9" tint="0.39994506668294322"/>
      </font>
      <fill>
        <patternFill patternType="none">
          <bgColor auto="1"/>
        </patternFill>
      </fill>
    </dxf>
    <dxf>
      <font>
        <color theme="2" tint="-9.9948118533890809E-2"/>
      </font>
      <fill>
        <patternFill>
          <bgColor theme="0"/>
        </patternFill>
      </fill>
    </dxf>
    <dxf>
      <font>
        <u val="none"/>
        <color theme="7" tint="0.59996337778862885"/>
      </font>
      <fill>
        <patternFill patternType="none">
          <bgColor auto="1"/>
        </patternFill>
      </fill>
    </dxf>
    <dxf>
      <font>
        <u/>
        <color theme="4" tint="0.39994506668294322"/>
      </font>
      <fill>
        <patternFill patternType="none">
          <bgColor auto="1"/>
        </patternFill>
      </fill>
    </dxf>
    <dxf>
      <font>
        <b/>
        <i val="0"/>
        <u val="double"/>
        <color theme="0"/>
      </font>
      <fill>
        <patternFill patternType="solid">
          <bgColor theme="1" tint="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B0F0"/>
        </patternFill>
      </fill>
    </dxf>
    <dxf>
      <fill>
        <patternFill>
          <bgColor theme="4" tint="0.79998168889431442"/>
        </patternFill>
      </fill>
    </dxf>
    <dxf>
      <fill>
        <patternFill>
          <bgColor theme="7"/>
        </patternFill>
      </fill>
    </dxf>
    <dxf>
      <font>
        <b/>
      </fon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D2D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'product details'!$J$16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BD4-4232-A874-4413F59217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BD4-4232-A874-4413F59217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EBD4-4232-A874-4413F59217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EBD4-4232-A874-4413F592172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'product details'!$I$17:$I$23</c15:sqref>
                  </c15:fullRef>
                </c:ext>
              </c:extLst>
              <c:f>('product details'!$I$17:$I$18,'product details'!$I$20:$I$21)</c:f>
              <c:strCache>
                <c:ptCount val="4"/>
                <c:pt idx="0">
                  <c:v>Laptop</c:v>
                </c:pt>
                <c:pt idx="1">
                  <c:v>Headphones</c:v>
                </c:pt>
                <c:pt idx="2">
                  <c:v>Mobile</c:v>
                </c:pt>
                <c:pt idx="3">
                  <c:v>Smartwatch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'product details'!$J$17:$J$23</c15:sqref>
                  </c15:fullRef>
                </c:ext>
              </c:extLst>
              <c:f>('product details'!$J$17:$J$18,'product details'!$J$20:$J$21)</c:f>
              <c:numCache>
                <c:formatCode>General</c:formatCode>
                <c:ptCount val="4"/>
                <c:pt idx="0">
                  <c:v>156000</c:v>
                </c:pt>
                <c:pt idx="1">
                  <c:v>90000</c:v>
                </c:pt>
                <c:pt idx="2">
                  <c:v>45000</c:v>
                </c:pt>
                <c:pt idx="3">
                  <c:v>45000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2-EBD4-4232-A874-4413F59217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'product data entry'!$F$1</c:f>
              <c:strCache>
                <c:ptCount val="1"/>
                <c:pt idx="0">
                  <c:v>Total amount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'product data entry'!$B$2:$B$51</c:f>
              <c:strCache>
                <c:ptCount val="50"/>
                <c:pt idx="0">
                  <c:v>mobile</c:v>
                </c:pt>
                <c:pt idx="1">
                  <c:v>laptop</c:v>
                </c:pt>
                <c:pt idx="2">
                  <c:v>headphones</c:v>
                </c:pt>
                <c:pt idx="3">
                  <c:v>smartwatch</c:v>
                </c:pt>
                <c:pt idx="4">
                  <c:v>keyboard</c:v>
                </c:pt>
                <c:pt idx="5">
                  <c:v>pendrive</c:v>
                </c:pt>
                <c:pt idx="6">
                  <c:v>mouse</c:v>
                </c:pt>
                <c:pt idx="7">
                  <c:v>mobile</c:v>
                </c:pt>
                <c:pt idx="8">
                  <c:v>laptop</c:v>
                </c:pt>
                <c:pt idx="9">
                  <c:v>headphones</c:v>
                </c:pt>
                <c:pt idx="10">
                  <c:v>smartwatch</c:v>
                </c:pt>
                <c:pt idx="11">
                  <c:v>keyboard</c:v>
                </c:pt>
                <c:pt idx="12">
                  <c:v>pendrive</c:v>
                </c:pt>
                <c:pt idx="13">
                  <c:v>mouse</c:v>
                </c:pt>
                <c:pt idx="14">
                  <c:v>mobile</c:v>
                </c:pt>
                <c:pt idx="15">
                  <c:v>laptop</c:v>
                </c:pt>
                <c:pt idx="16">
                  <c:v>headphones</c:v>
                </c:pt>
                <c:pt idx="17">
                  <c:v>smartwatch</c:v>
                </c:pt>
                <c:pt idx="18">
                  <c:v>keyboard</c:v>
                </c:pt>
                <c:pt idx="19">
                  <c:v>pendrive</c:v>
                </c:pt>
                <c:pt idx="20">
                  <c:v>mouse</c:v>
                </c:pt>
                <c:pt idx="21">
                  <c:v>mobile</c:v>
                </c:pt>
                <c:pt idx="22">
                  <c:v>laptop</c:v>
                </c:pt>
                <c:pt idx="23">
                  <c:v>headphones</c:v>
                </c:pt>
                <c:pt idx="24">
                  <c:v>smartwatch</c:v>
                </c:pt>
                <c:pt idx="25">
                  <c:v>keyboard</c:v>
                </c:pt>
                <c:pt idx="26">
                  <c:v>pendrive</c:v>
                </c:pt>
                <c:pt idx="27">
                  <c:v>mouse</c:v>
                </c:pt>
                <c:pt idx="28">
                  <c:v>mobile</c:v>
                </c:pt>
                <c:pt idx="29">
                  <c:v>laptop</c:v>
                </c:pt>
                <c:pt idx="30">
                  <c:v>headphones</c:v>
                </c:pt>
                <c:pt idx="31">
                  <c:v>smartwatch</c:v>
                </c:pt>
                <c:pt idx="32">
                  <c:v>keyboard</c:v>
                </c:pt>
                <c:pt idx="33">
                  <c:v>pendrive</c:v>
                </c:pt>
                <c:pt idx="34">
                  <c:v>mouse</c:v>
                </c:pt>
                <c:pt idx="35">
                  <c:v>mobile</c:v>
                </c:pt>
                <c:pt idx="36">
                  <c:v>laptop</c:v>
                </c:pt>
                <c:pt idx="37">
                  <c:v>headphones</c:v>
                </c:pt>
                <c:pt idx="38">
                  <c:v>smartwatch</c:v>
                </c:pt>
                <c:pt idx="39">
                  <c:v>keyboard</c:v>
                </c:pt>
                <c:pt idx="40">
                  <c:v>pendrive</c:v>
                </c:pt>
                <c:pt idx="41">
                  <c:v>mouse</c:v>
                </c:pt>
                <c:pt idx="42">
                  <c:v>mobile</c:v>
                </c:pt>
                <c:pt idx="43">
                  <c:v>laptop</c:v>
                </c:pt>
                <c:pt idx="44">
                  <c:v>headphones</c:v>
                </c:pt>
                <c:pt idx="45">
                  <c:v>smartwatch</c:v>
                </c:pt>
                <c:pt idx="46">
                  <c:v>keyboard</c:v>
                </c:pt>
                <c:pt idx="47">
                  <c:v>pendrive</c:v>
                </c:pt>
                <c:pt idx="48">
                  <c:v>mouse</c:v>
                </c:pt>
                <c:pt idx="49">
                  <c:v>mobile</c:v>
                </c:pt>
              </c:strCache>
            </c:strRef>
          </c:cat>
          <c:val>
            <c:numRef>
              <c:f>'product data entry'!$F$2:$F$51</c:f>
              <c:numCache>
                <c:formatCode>General</c:formatCode>
                <c:ptCount val="50"/>
                <c:pt idx="0">
                  <c:v>60000</c:v>
                </c:pt>
                <c:pt idx="1">
                  <c:v>534000</c:v>
                </c:pt>
                <c:pt idx="2">
                  <c:v>12000</c:v>
                </c:pt>
                <c:pt idx="3">
                  <c:v>448000</c:v>
                </c:pt>
                <c:pt idx="4">
                  <c:v>136800</c:v>
                </c:pt>
                <c:pt idx="5">
                  <c:v>134000</c:v>
                </c:pt>
                <c:pt idx="6">
                  <c:v>44500</c:v>
                </c:pt>
                <c:pt idx="7">
                  <c:v>138000</c:v>
                </c:pt>
                <c:pt idx="8">
                  <c:v>268000</c:v>
                </c:pt>
                <c:pt idx="9">
                  <c:v>135000</c:v>
                </c:pt>
                <c:pt idx="10">
                  <c:v>68000</c:v>
                </c:pt>
                <c:pt idx="11">
                  <c:v>71700</c:v>
                </c:pt>
                <c:pt idx="12">
                  <c:v>40000</c:v>
                </c:pt>
                <c:pt idx="13">
                  <c:v>1500</c:v>
                </c:pt>
                <c:pt idx="14">
                  <c:v>44000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43-4040-8CB2-B37B4B5519EA}"/>
            </c:ext>
          </c:extLst>
        </c:ser>
        <c:ser>
          <c:idx val="1"/>
          <c:order val="1"/>
          <c:tx>
            <c:strRef>
              <c:f>'product data entry'!$I$1</c:f>
              <c:strCache>
                <c:ptCount val="1"/>
                <c:pt idx="0">
                  <c:v>Target sales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'product data entry'!$B$2:$B$51</c:f>
              <c:strCache>
                <c:ptCount val="50"/>
                <c:pt idx="0">
                  <c:v>mobile</c:v>
                </c:pt>
                <c:pt idx="1">
                  <c:v>laptop</c:v>
                </c:pt>
                <c:pt idx="2">
                  <c:v>headphones</c:v>
                </c:pt>
                <c:pt idx="3">
                  <c:v>smartwatch</c:v>
                </c:pt>
                <c:pt idx="4">
                  <c:v>keyboard</c:v>
                </c:pt>
                <c:pt idx="5">
                  <c:v>pendrive</c:v>
                </c:pt>
                <c:pt idx="6">
                  <c:v>mouse</c:v>
                </c:pt>
                <c:pt idx="7">
                  <c:v>mobile</c:v>
                </c:pt>
                <c:pt idx="8">
                  <c:v>laptop</c:v>
                </c:pt>
                <c:pt idx="9">
                  <c:v>headphones</c:v>
                </c:pt>
                <c:pt idx="10">
                  <c:v>smartwatch</c:v>
                </c:pt>
                <c:pt idx="11">
                  <c:v>keyboard</c:v>
                </c:pt>
                <c:pt idx="12">
                  <c:v>pendrive</c:v>
                </c:pt>
                <c:pt idx="13">
                  <c:v>mouse</c:v>
                </c:pt>
                <c:pt idx="14">
                  <c:v>mobile</c:v>
                </c:pt>
                <c:pt idx="15">
                  <c:v>laptop</c:v>
                </c:pt>
                <c:pt idx="16">
                  <c:v>headphones</c:v>
                </c:pt>
                <c:pt idx="17">
                  <c:v>smartwatch</c:v>
                </c:pt>
                <c:pt idx="18">
                  <c:v>keyboard</c:v>
                </c:pt>
                <c:pt idx="19">
                  <c:v>pendrive</c:v>
                </c:pt>
                <c:pt idx="20">
                  <c:v>mouse</c:v>
                </c:pt>
                <c:pt idx="21">
                  <c:v>mobile</c:v>
                </c:pt>
                <c:pt idx="22">
                  <c:v>laptop</c:v>
                </c:pt>
                <c:pt idx="23">
                  <c:v>headphones</c:v>
                </c:pt>
                <c:pt idx="24">
                  <c:v>smartwatch</c:v>
                </c:pt>
                <c:pt idx="25">
                  <c:v>keyboard</c:v>
                </c:pt>
                <c:pt idx="26">
                  <c:v>pendrive</c:v>
                </c:pt>
                <c:pt idx="27">
                  <c:v>mouse</c:v>
                </c:pt>
                <c:pt idx="28">
                  <c:v>mobile</c:v>
                </c:pt>
                <c:pt idx="29">
                  <c:v>laptop</c:v>
                </c:pt>
                <c:pt idx="30">
                  <c:v>headphones</c:v>
                </c:pt>
                <c:pt idx="31">
                  <c:v>smartwatch</c:v>
                </c:pt>
                <c:pt idx="32">
                  <c:v>keyboard</c:v>
                </c:pt>
                <c:pt idx="33">
                  <c:v>pendrive</c:v>
                </c:pt>
                <c:pt idx="34">
                  <c:v>mouse</c:v>
                </c:pt>
                <c:pt idx="35">
                  <c:v>mobile</c:v>
                </c:pt>
                <c:pt idx="36">
                  <c:v>laptop</c:v>
                </c:pt>
                <c:pt idx="37">
                  <c:v>headphones</c:v>
                </c:pt>
                <c:pt idx="38">
                  <c:v>smartwatch</c:v>
                </c:pt>
                <c:pt idx="39">
                  <c:v>keyboard</c:v>
                </c:pt>
                <c:pt idx="40">
                  <c:v>pendrive</c:v>
                </c:pt>
                <c:pt idx="41">
                  <c:v>mouse</c:v>
                </c:pt>
                <c:pt idx="42">
                  <c:v>mobile</c:v>
                </c:pt>
                <c:pt idx="43">
                  <c:v>laptop</c:v>
                </c:pt>
                <c:pt idx="44">
                  <c:v>headphones</c:v>
                </c:pt>
                <c:pt idx="45">
                  <c:v>smartwatch</c:v>
                </c:pt>
                <c:pt idx="46">
                  <c:v>keyboard</c:v>
                </c:pt>
                <c:pt idx="47">
                  <c:v>pendrive</c:v>
                </c:pt>
                <c:pt idx="48">
                  <c:v>mouse</c:v>
                </c:pt>
                <c:pt idx="49">
                  <c:v>mobile</c:v>
                </c:pt>
              </c:strCache>
            </c:strRef>
          </c:cat>
          <c:val>
            <c:numRef>
              <c:f>'product data entry'!$I$2:$I$51</c:f>
              <c:numCache>
                <c:formatCode>General</c:formatCode>
                <c:ptCount val="50"/>
                <c:pt idx="0">
                  <c:v>150000</c:v>
                </c:pt>
                <c:pt idx="1">
                  <c:v>150000</c:v>
                </c:pt>
                <c:pt idx="2">
                  <c:v>150000</c:v>
                </c:pt>
                <c:pt idx="3">
                  <c:v>150000</c:v>
                </c:pt>
                <c:pt idx="4">
                  <c:v>150000</c:v>
                </c:pt>
                <c:pt idx="5">
                  <c:v>150000</c:v>
                </c:pt>
                <c:pt idx="6">
                  <c:v>150000</c:v>
                </c:pt>
                <c:pt idx="7">
                  <c:v>150000</c:v>
                </c:pt>
                <c:pt idx="8">
                  <c:v>150000</c:v>
                </c:pt>
                <c:pt idx="9">
                  <c:v>150000</c:v>
                </c:pt>
                <c:pt idx="10">
                  <c:v>150000</c:v>
                </c:pt>
                <c:pt idx="11">
                  <c:v>150000</c:v>
                </c:pt>
                <c:pt idx="12">
                  <c:v>150000</c:v>
                </c:pt>
                <c:pt idx="13">
                  <c:v>150000</c:v>
                </c:pt>
                <c:pt idx="14">
                  <c:v>150000</c:v>
                </c:pt>
                <c:pt idx="15">
                  <c:v>150000</c:v>
                </c:pt>
                <c:pt idx="16">
                  <c:v>150000</c:v>
                </c:pt>
                <c:pt idx="17">
                  <c:v>150000</c:v>
                </c:pt>
                <c:pt idx="18">
                  <c:v>150000</c:v>
                </c:pt>
                <c:pt idx="19">
                  <c:v>150000</c:v>
                </c:pt>
                <c:pt idx="20">
                  <c:v>150000</c:v>
                </c:pt>
                <c:pt idx="21">
                  <c:v>150000</c:v>
                </c:pt>
                <c:pt idx="22">
                  <c:v>150000</c:v>
                </c:pt>
                <c:pt idx="23">
                  <c:v>150000</c:v>
                </c:pt>
                <c:pt idx="24">
                  <c:v>150000</c:v>
                </c:pt>
                <c:pt idx="25">
                  <c:v>150000</c:v>
                </c:pt>
                <c:pt idx="26">
                  <c:v>150000</c:v>
                </c:pt>
                <c:pt idx="27">
                  <c:v>150000</c:v>
                </c:pt>
                <c:pt idx="28">
                  <c:v>150000</c:v>
                </c:pt>
                <c:pt idx="29">
                  <c:v>150000</c:v>
                </c:pt>
                <c:pt idx="30">
                  <c:v>150000</c:v>
                </c:pt>
                <c:pt idx="31">
                  <c:v>150000</c:v>
                </c:pt>
                <c:pt idx="32">
                  <c:v>150000</c:v>
                </c:pt>
                <c:pt idx="33">
                  <c:v>150000</c:v>
                </c:pt>
                <c:pt idx="34">
                  <c:v>150000</c:v>
                </c:pt>
                <c:pt idx="35">
                  <c:v>150000</c:v>
                </c:pt>
                <c:pt idx="36">
                  <c:v>150000</c:v>
                </c:pt>
                <c:pt idx="37">
                  <c:v>150000</c:v>
                </c:pt>
                <c:pt idx="38">
                  <c:v>150000</c:v>
                </c:pt>
                <c:pt idx="39">
                  <c:v>150000</c:v>
                </c:pt>
                <c:pt idx="40">
                  <c:v>150000</c:v>
                </c:pt>
                <c:pt idx="41">
                  <c:v>150000</c:v>
                </c:pt>
                <c:pt idx="42">
                  <c:v>150000</c:v>
                </c:pt>
                <c:pt idx="43">
                  <c:v>150000</c:v>
                </c:pt>
                <c:pt idx="44">
                  <c:v>150000</c:v>
                </c:pt>
                <c:pt idx="45">
                  <c:v>150000</c:v>
                </c:pt>
                <c:pt idx="46">
                  <c:v>150000</c:v>
                </c:pt>
                <c:pt idx="47">
                  <c:v>150000</c:v>
                </c:pt>
                <c:pt idx="48">
                  <c:v>150000</c:v>
                </c:pt>
                <c:pt idx="49">
                  <c:v>150000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43-4040-8CB2-B37B4B551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0249616"/>
        <c:axId val="350250032"/>
      </c:lineChart>
      <c:catAx>
        <c:axId val="35024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250032"/>
        <c:crosses val="autoZero"/>
        <c:auto val="1"/>
        <c:lblAlgn val="ctr"/>
        <c:lblOffset val="100"/>
        <c:noMultiLvlLbl val="0"/>
      </c:catAx>
      <c:valAx>
        <c:axId val="35025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24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3</xdr:row>
      <xdr:rowOff>11430</xdr:rowOff>
    </xdr:from>
    <xdr:to>
      <xdr:col>5</xdr:col>
      <xdr:colOff>327660</xdr:colOff>
      <xdr:row>18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AA8BD4-38A8-45E7-9176-0BADB5C67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487680</xdr:colOff>
      <xdr:row>2</xdr:row>
      <xdr:rowOff>148590</xdr:rowOff>
    </xdr:from>
    <xdr:to>
      <xdr:col>17</xdr:col>
      <xdr:colOff>396240</xdr:colOff>
      <xdr:row>17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C7CDC4-969B-4CD3-8C72-1F9DB6DCC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eek%201%20-%20Project%20-%20Analytics%20Progress%20Tracker%20working%20-%2017636234903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sualization"/>
      <sheetName val="Summary"/>
      <sheetName val="Dashboard"/>
      <sheetName val="Sheet1"/>
      <sheetName val="Goals"/>
      <sheetName val="Syllabus"/>
      <sheetName val="Study hours"/>
      <sheetName val="Progress Summary"/>
      <sheetName val="Progress Dashboard"/>
      <sheetName val="Goals Data"/>
      <sheetName val="Excel Syllabus Data"/>
      <sheetName val="Study Hours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C5" t="str">
            <v>What is structured data?</v>
          </cell>
          <cell r="D5" t="str">
            <v>Medium</v>
          </cell>
        </row>
        <row r="6">
          <cell r="C6" t="str">
            <v>Using Get data feature</v>
          </cell>
          <cell r="D6" t="str">
            <v>Medium</v>
          </cell>
        </row>
        <row r="7">
          <cell r="C7" t="str">
            <v>Handling JSON</v>
          </cell>
          <cell r="D7" t="str">
            <v>Low</v>
          </cell>
        </row>
        <row r="8">
          <cell r="C8" t="str">
            <v>Text/String, Number, Date, Boolean, Error</v>
          </cell>
          <cell r="D8" t="str">
            <v>Medium</v>
          </cell>
        </row>
        <row r="9">
          <cell r="C9" t="str">
            <v>Restricting data entries for data correctness</v>
          </cell>
          <cell r="D9" t="str">
            <v>Medium</v>
          </cell>
        </row>
        <row r="10">
          <cell r="C10" t="str">
            <v>Custom data validations</v>
          </cell>
          <cell r="D10" t="str">
            <v>Low</v>
          </cell>
        </row>
        <row r="11">
          <cell r="C11" t="str">
            <v>Remove Duplicates (Dealing with Duplicates)</v>
          </cell>
          <cell r="D11" t="str">
            <v>Medium</v>
          </cell>
        </row>
        <row r="12">
          <cell r="C12" t="str">
            <v>Transpose</v>
          </cell>
          <cell r="D12" t="str">
            <v>Medium</v>
          </cell>
        </row>
        <row r="13">
          <cell r="C13" t="str">
            <v>Text to Columns</v>
          </cell>
          <cell r="D13" t="str">
            <v>High</v>
          </cell>
        </row>
        <row r="14">
          <cell r="C14" t="str">
            <v>What is formatting?</v>
          </cell>
        </row>
        <row r="15">
          <cell r="C15" t="str">
            <v>Various formatting options (Text Font, Text Alignment etc..)</v>
          </cell>
        </row>
        <row r="16">
          <cell r="C16" t="str">
            <v>Number formatting</v>
          </cell>
        </row>
        <row r="17">
          <cell r="C17" t="str">
            <v>Custom number formats</v>
          </cell>
        </row>
        <row r="18">
          <cell r="C18" t="str">
            <v>Date &amp; Time Formatting</v>
          </cell>
        </row>
        <row r="19">
          <cell r="C19" t="str">
            <v>Custom Date &amp; Time formats</v>
          </cell>
        </row>
        <row r="20">
          <cell r="C20" t="str">
            <v>Grouping-UnGrouping</v>
          </cell>
        </row>
        <row r="21">
          <cell r="C21" t="str">
            <v>Basic conditional formatting options</v>
          </cell>
        </row>
        <row r="22">
          <cell r="C22" t="str">
            <v>Custom conditional formatting</v>
          </cell>
        </row>
        <row r="23">
          <cell r="C23" t="str">
            <v>Copy-paste-paste special</v>
          </cell>
        </row>
        <row r="24">
          <cell r="C24" t="str">
            <v>Quick sort</v>
          </cell>
        </row>
        <row r="25">
          <cell r="C25" t="str">
            <v>Custom sort</v>
          </cell>
        </row>
        <row r="26">
          <cell r="C26" t="str">
            <v>Filters</v>
          </cell>
        </row>
        <row r="27">
          <cell r="C27" t="str">
            <v>Relative</v>
          </cell>
        </row>
        <row r="28">
          <cell r="C28" t="str">
            <v>Absolute</v>
          </cell>
        </row>
        <row r="29">
          <cell r="C29" t="str">
            <v>TEXTBEFORE</v>
          </cell>
        </row>
        <row r="30">
          <cell r="C30" t="str">
            <v>TEXTAFTER</v>
          </cell>
        </row>
        <row r="31">
          <cell r="C31" t="str">
            <v>LEFT</v>
          </cell>
        </row>
        <row r="32">
          <cell r="C32" t="str">
            <v>RIGHT</v>
          </cell>
        </row>
        <row r="33">
          <cell r="C33" t="str">
            <v>MID</v>
          </cell>
        </row>
        <row r="34">
          <cell r="C34" t="str">
            <v>CONCATENATE</v>
          </cell>
        </row>
        <row r="35">
          <cell r="C35" t="str">
            <v>TRIM</v>
          </cell>
        </row>
        <row r="36">
          <cell r="C36" t="str">
            <v>SUBSTITUTE</v>
          </cell>
        </row>
        <row r="37">
          <cell r="C37" t="str">
            <v>VALUE</v>
          </cell>
        </row>
        <row r="38">
          <cell r="C38" t="str">
            <v>TEXT</v>
          </cell>
        </row>
        <row r="39">
          <cell r="C39" t="str">
            <v>IF</v>
          </cell>
        </row>
        <row r="40">
          <cell r="C40" t="str">
            <v>AND, OR</v>
          </cell>
        </row>
        <row r="41">
          <cell r="C41" t="str">
            <v>NOT</v>
          </cell>
        </row>
        <row r="42">
          <cell r="C42" t="str">
            <v>IFERROR</v>
          </cell>
        </row>
        <row r="43">
          <cell r="C43" t="str">
            <v>IFNA</v>
          </cell>
        </row>
        <row r="44">
          <cell r="C44" t="str">
            <v>SUM</v>
          </cell>
        </row>
        <row r="45">
          <cell r="C45" t="str">
            <v>SUMIF, SUMIFS  (conditional sum)</v>
          </cell>
        </row>
        <row r="46">
          <cell r="C46" t="str">
            <v>SUMPRODUCT</v>
          </cell>
        </row>
        <row r="47">
          <cell r="C47" t="str">
            <v>ROUND</v>
          </cell>
        </row>
        <row r="48">
          <cell r="C48" t="str">
            <v>MOD</v>
          </cell>
        </row>
        <row r="49">
          <cell r="C49" t="str">
            <v>AVERAGE</v>
          </cell>
        </row>
        <row r="50">
          <cell r="C50" t="str">
            <v>MIN</v>
          </cell>
        </row>
        <row r="51">
          <cell r="C51" t="str">
            <v>MAX</v>
          </cell>
        </row>
        <row r="52">
          <cell r="C52" t="str">
            <v>COUNT</v>
          </cell>
        </row>
        <row r="53">
          <cell r="C53" t="str">
            <v>COUNTA</v>
          </cell>
        </row>
        <row r="54">
          <cell r="C54" t="str">
            <v>COUNTBLANK</v>
          </cell>
        </row>
        <row r="55">
          <cell r="C55" t="str">
            <v>COUNTIF</v>
          </cell>
        </row>
        <row r="56">
          <cell r="C56" t="str">
            <v>COUNTIFS</v>
          </cell>
        </row>
        <row r="57">
          <cell r="C57" t="str">
            <v>VLOOKUP</v>
          </cell>
        </row>
        <row r="58">
          <cell r="C58" t="str">
            <v>HLOOKUP</v>
          </cell>
        </row>
        <row r="59">
          <cell r="C59" t="str">
            <v>Limitations of VLOOKUP &amp; HLOOKUP, XLOOKUP</v>
          </cell>
        </row>
        <row r="60">
          <cell r="C60" t="str">
            <v>INDEX &amp; MATCH</v>
          </cell>
        </row>
        <row r="61">
          <cell r="C61" t="str">
            <v>INDIRECT</v>
          </cell>
        </row>
        <row r="62">
          <cell r="C62" t="str">
            <v>OFFSET</v>
          </cell>
        </row>
        <row r="63">
          <cell r="C63" t="str">
            <v>TRANSPOSE</v>
          </cell>
        </row>
        <row r="64">
          <cell r="C64" t="str">
            <v>HYPERLINK</v>
          </cell>
        </row>
        <row r="65">
          <cell r="C65" t="str">
            <v>DATE</v>
          </cell>
        </row>
        <row r="66">
          <cell r="C66" t="str">
            <v>DATEVALUE</v>
          </cell>
        </row>
        <row r="67">
          <cell r="C67" t="str">
            <v>TODAY</v>
          </cell>
        </row>
        <row r="68">
          <cell r="C68" t="str">
            <v>NOW</v>
          </cell>
        </row>
        <row r="69">
          <cell r="C69" t="str">
            <v>DAY</v>
          </cell>
        </row>
        <row r="70">
          <cell r="C70" t="str">
            <v>MONTH</v>
          </cell>
        </row>
        <row r="71">
          <cell r="C71" t="str">
            <v>YEAR</v>
          </cell>
        </row>
        <row r="72">
          <cell r="C72" t="str">
            <v>WEEKDAY</v>
          </cell>
        </row>
        <row r="73">
          <cell r="C73" t="str">
            <v>WEEKNUM</v>
          </cell>
        </row>
        <row r="74">
          <cell r="C74" t="str">
            <v>EOMONTH</v>
          </cell>
        </row>
        <row r="75">
          <cell r="C75" t="str">
            <v>DATEDIF</v>
          </cell>
        </row>
        <row r="76">
          <cell r="C76" t="str">
            <v>Convert time to hours, minutes &amp; seconds</v>
          </cell>
        </row>
        <row r="77">
          <cell r="C77" t="str">
            <v>Split date &amp; time to separate columns</v>
          </cell>
        </row>
        <row r="78">
          <cell r="C78" t="str">
            <v>Convert text to time</v>
          </cell>
        </row>
        <row r="79">
          <cell r="C79" t="str">
            <v>Convert time to text</v>
          </cell>
        </row>
        <row r="80">
          <cell r="C80" t="str">
            <v>Introduction to Pivot tables, use and applications</v>
          </cell>
        </row>
        <row r="81">
          <cell r="C81" t="str">
            <v>Data Analysis using Pivot Tables - use of row and column shelf, values and filters</v>
          </cell>
        </row>
        <row r="82">
          <cell r="C82" t="str">
            <v>Difference between data layering and cross tabulation, summary reports, advantages and limitations</v>
          </cell>
        </row>
        <row r="83">
          <cell r="C83" t="str">
            <v>Bins and Grouping and Ungrouping the data</v>
          </cell>
        </row>
        <row r="84">
          <cell r="C84" t="str">
            <v>Creating data reports using pivot tables</v>
          </cell>
        </row>
        <row r="85">
          <cell r="C85" t="str">
            <v>Change aggregation types and summarization</v>
          </cell>
        </row>
        <row r="86">
          <cell r="C86" t="str">
            <v>Concept of calculated fields, usage and limitations</v>
          </cell>
        </row>
        <row r="87">
          <cell r="C87" t="str">
            <v>Configuring Pivot Table Layouts &amp; Styles – Grand totals and subtotals, report layouts, etc.</v>
          </cell>
        </row>
        <row r="88">
          <cell r="C88" t="str">
            <v xml:space="preserve">Power Pivot - Power Query </v>
          </cell>
        </row>
        <row r="89">
          <cell r="C89" t="str">
            <v>Basic Charts - Column/Bar, Stacked, Pie, line/area, scatterplot, doughnut etc.</v>
          </cell>
        </row>
        <row r="90">
          <cell r="C90" t="str">
            <v>Chart properties</v>
          </cell>
        </row>
        <row r="91">
          <cell r="C91" t="str">
            <v xml:space="preserve">How to select right chart for your data
</v>
          </cell>
        </row>
        <row r="92">
          <cell r="C92" t="str">
            <v>Pivot tables - Charts</v>
          </cell>
        </row>
        <row r="93">
          <cell r="C93" t="str">
            <v>Map Chart</v>
          </cell>
        </row>
        <row r="94">
          <cell r="C94" t="str">
            <v>Population Pyramid</v>
          </cell>
        </row>
        <row r="95">
          <cell r="C95" t="str">
            <v>Waterfall Chart</v>
          </cell>
        </row>
        <row r="96">
          <cell r="C96" t="str">
            <v>Pivot cache</v>
          </cell>
        </row>
        <row r="97">
          <cell r="C97" t="str">
            <v>Pivot table design elements - concept of slicers and timelines - Slicer Options</v>
          </cell>
        </row>
        <row r="98">
          <cell r="C98" t="str">
            <v>Sales dashboard using pivot options</v>
          </cell>
        </row>
        <row r="99">
          <cell r="C99" t="str">
            <v>Making Dashboards Dynamic</v>
          </cell>
        </row>
        <row r="100">
          <cell r="C100" t="str">
            <v>Making Dashboards more beautiful - Adding icons and images to dashboards</v>
          </cell>
        </row>
        <row r="101">
          <cell r="C101" t="str">
            <v>Design principles for including charts in dashboards - do's and dont's</v>
          </cell>
        </row>
        <row r="102">
          <cell r="C102" t="str">
            <v>Best practices - Tips and Tricks to enhance dashboard designing</v>
          </cell>
        </row>
        <row r="103">
          <cell r="C103" t="str">
            <v>Tables</v>
          </cell>
        </row>
        <row r="104">
          <cell r="C104" t="str">
            <v>What-if Analysis</v>
          </cell>
        </row>
        <row r="105">
          <cell r="C105" t="str">
            <v>Subtotals</v>
          </cell>
        </row>
      </sheetData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8FE3A2-D604-40DD-8ABF-CB9AEF6AE82F}" name="Table6" displayName="Table6" ref="A1:J51" totalsRowShown="0">
  <autoFilter ref="A1:J51" xr:uid="{028FE3A2-D604-40DD-8ABF-CB9AEF6AE82F}"/>
  <tableColumns count="10">
    <tableColumn id="1" xr3:uid="{B1DA6A50-CCC4-4F4E-8D5B-8C1911088D61}" name="Order_id"/>
    <tableColumn id="2" xr3:uid="{22F607F8-5601-4297-BD13-98BAAB15AD4A}" name="Product name"/>
    <tableColumn id="3" xr3:uid="{13EA830B-E007-46AB-A730-45DE81D8F6A5}" name="Date"/>
    <tableColumn id="4" xr3:uid="{A07A0ECC-EBBA-4C45-9576-604EEB4FFBA0}" name="Quantity"/>
    <tableColumn id="5" xr3:uid="{00025257-12A4-4737-B27D-58E310F7EF70}" name="Price"/>
    <tableColumn id="6" xr3:uid="{E6B5F1F6-5AE6-49EB-AC55-6314E48B25ED}" name="Total amount">
      <calculatedColumnFormula>SUM(E2*D2)</calculatedColumnFormula>
    </tableColumn>
    <tableColumn id="7" xr3:uid="{53299314-E0BD-4786-B45E-885EB4BC95A8}" name="Category" dataDxfId="16">
      <calculatedColumnFormula>VLOOKUP(Table6[[#This Row],[Product name]],Table1[],2,FALSE)</calculatedColumnFormula>
    </tableColumn>
    <tableColumn id="8" xr3:uid="{1454482F-CDD7-4471-992A-9F243E8680D7}" name="product model" dataDxfId="15">
      <calculatedColumnFormula>VLOOKUP(Table6[[#This Row],[Product name]],'product details'!$A$2:$C$9,3,0)</calculatedColumnFormula>
    </tableColumn>
    <tableColumn id="10" xr3:uid="{DEFFFFE6-F8EA-4D68-9191-87897765BCD7}" name="Target sales "/>
    <tableColumn id="9" xr3:uid="{2ABEEEFB-E6D0-4452-86C5-01956002F1F4}" name="Month name" dataDxfId="14">
      <calculatedColumnFormula>TEXT(Table6[[#This Row],[Date]],"mmm")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45A87D-7FA9-4897-ADF6-B0E1AEFE081D}" name="Table1" displayName="Table1" ref="A2:B9" totalsRowShown="0" headerRowDxfId="13">
  <autoFilter ref="A2:B9" xr:uid="{B245A87D-7FA9-4897-ADF6-B0E1AEFE081D}"/>
  <tableColumns count="2">
    <tableColumn id="1" xr3:uid="{37F4E2F5-7584-4DF0-A359-F00DFB2AC45E}" name="Product name" dataDxfId="12"/>
    <tableColumn id="2" xr3:uid="{4E4B5F53-F7CE-4895-BCC6-4FE61BBEB060}" name="category" dataDxfId="1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B5DACC-59EE-44C3-B3CE-96699FB963A5}" name="Table2" displayName="Table2" ref="C2:C9" totalsRowShown="0" headerRowDxfId="10">
  <autoFilter ref="C2:C9" xr:uid="{46B5DACC-59EE-44C3-B3CE-96699FB963A5}"/>
  <tableColumns count="1">
    <tableColumn id="1" xr3:uid="{30455FE2-56E9-410D-AFEE-444FE6901BDF}" name="produt mode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03873-050C-480D-A722-4D7A49A434CD}">
  <dimension ref="A1:N51"/>
  <sheetViews>
    <sheetView tabSelected="1" workbookViewId="0">
      <selection activeCell="H25" sqref="H25"/>
    </sheetView>
  </sheetViews>
  <sheetFormatPr defaultRowHeight="14.4" x14ac:dyDescent="0.3"/>
  <cols>
    <col min="2" max="2" width="13.33203125" customWidth="1"/>
    <col min="3" max="3" width="17.77734375" customWidth="1"/>
    <col min="10" max="10" width="10.109375" bestFit="1" customWidth="1"/>
    <col min="11" max="11" width="11" bestFit="1" customWidth="1"/>
  </cols>
  <sheetData>
    <row r="1" spans="1:14" x14ac:dyDescent="0.3">
      <c r="A1" s="4" t="s">
        <v>61</v>
      </c>
      <c r="B1" s="4" t="s">
        <v>12</v>
      </c>
      <c r="C1" t="s">
        <v>62</v>
      </c>
      <c r="D1" s="4" t="s">
        <v>63</v>
      </c>
    </row>
    <row r="2" spans="1:14" x14ac:dyDescent="0.3">
      <c r="A2" s="4">
        <v>19051</v>
      </c>
      <c r="B2" s="4" t="s">
        <v>1</v>
      </c>
      <c r="C2">
        <v>5</v>
      </c>
      <c r="D2" s="4" t="str">
        <f>IF(C1&gt;4,"High","Medium")</f>
        <v>High</v>
      </c>
    </row>
    <row r="3" spans="1:14" x14ac:dyDescent="0.3">
      <c r="A3" s="4">
        <v>19052</v>
      </c>
      <c r="B3" s="4" t="s">
        <v>2</v>
      </c>
      <c r="C3">
        <v>5</v>
      </c>
      <c r="D3" s="4" t="str">
        <f t="shared" ref="D3:D16" si="0">IF(C2&gt;4,"High","Medium")</f>
        <v>High</v>
      </c>
    </row>
    <row r="4" spans="1:14" x14ac:dyDescent="0.3">
      <c r="A4" s="4">
        <v>19053</v>
      </c>
      <c r="B4" s="4" t="s">
        <v>3</v>
      </c>
      <c r="C4">
        <v>4.8</v>
      </c>
      <c r="D4" s="4" t="str">
        <f t="shared" si="0"/>
        <v>High</v>
      </c>
    </row>
    <row r="5" spans="1:14" x14ac:dyDescent="0.3">
      <c r="A5" s="4">
        <v>19054</v>
      </c>
      <c r="B5" s="4" t="s">
        <v>9</v>
      </c>
      <c r="C5">
        <v>4.5</v>
      </c>
      <c r="D5" s="4" t="str">
        <f t="shared" si="0"/>
        <v>High</v>
      </c>
      <c r="I5" s="4" t="s">
        <v>64</v>
      </c>
      <c r="J5" s="13" t="s">
        <v>65</v>
      </c>
    </row>
    <row r="6" spans="1:14" x14ac:dyDescent="0.3">
      <c r="A6" s="4">
        <v>19055</v>
      </c>
      <c r="B6" s="4" t="s">
        <v>7</v>
      </c>
      <c r="C6">
        <v>5</v>
      </c>
      <c r="D6" s="4" t="str">
        <f t="shared" si="0"/>
        <v>High</v>
      </c>
      <c r="I6" s="4" t="s">
        <v>66</v>
      </c>
      <c r="J6" s="14" t="s">
        <v>69</v>
      </c>
      <c r="N6">
        <v>50</v>
      </c>
    </row>
    <row r="7" spans="1:14" x14ac:dyDescent="0.3">
      <c r="A7" s="4">
        <v>19056</v>
      </c>
      <c r="B7" s="4" t="s">
        <v>8</v>
      </c>
      <c r="C7">
        <v>3</v>
      </c>
      <c r="D7" s="4" t="str">
        <f t="shared" si="0"/>
        <v>High</v>
      </c>
      <c r="I7" s="4" t="s">
        <v>67</v>
      </c>
      <c r="J7" s="15" t="s">
        <v>68</v>
      </c>
      <c r="N7">
        <v>15</v>
      </c>
    </row>
    <row r="8" spans="1:14" x14ac:dyDescent="0.3">
      <c r="A8" s="4">
        <v>19057</v>
      </c>
      <c r="B8" s="4" t="s">
        <v>4</v>
      </c>
      <c r="C8">
        <v>3</v>
      </c>
      <c r="D8" s="4" t="str">
        <f t="shared" si="0"/>
        <v>Medium</v>
      </c>
    </row>
    <row r="9" spans="1:14" x14ac:dyDescent="0.3">
      <c r="A9" s="4">
        <v>19058</v>
      </c>
      <c r="B9" s="4" t="s">
        <v>1</v>
      </c>
      <c r="C9">
        <v>4</v>
      </c>
      <c r="D9" s="4" t="str">
        <f t="shared" si="0"/>
        <v>Medium</v>
      </c>
    </row>
    <row r="10" spans="1:14" x14ac:dyDescent="0.3">
      <c r="A10" s="4">
        <v>19059</v>
      </c>
      <c r="B10" s="4" t="s">
        <v>2</v>
      </c>
      <c r="C10">
        <v>5</v>
      </c>
      <c r="D10" s="4" t="str">
        <f t="shared" si="0"/>
        <v>Medium</v>
      </c>
    </row>
    <row r="11" spans="1:14" x14ac:dyDescent="0.3">
      <c r="A11" s="4">
        <v>19060</v>
      </c>
      <c r="B11" s="4" t="s">
        <v>3</v>
      </c>
      <c r="C11">
        <v>5</v>
      </c>
      <c r="D11" s="4" t="str">
        <f t="shared" si="0"/>
        <v>High</v>
      </c>
    </row>
    <row r="12" spans="1:14" x14ac:dyDescent="0.3">
      <c r="A12" s="4">
        <v>19061</v>
      </c>
      <c r="B12" s="4" t="s">
        <v>9</v>
      </c>
      <c r="C12">
        <v>4</v>
      </c>
      <c r="D12" s="4" t="str">
        <f t="shared" si="0"/>
        <v>High</v>
      </c>
      <c r="J12" t="s">
        <v>76</v>
      </c>
      <c r="K12" s="43">
        <f>N6-N7</f>
        <v>35</v>
      </c>
    </row>
    <row r="13" spans="1:14" x14ac:dyDescent="0.3">
      <c r="A13" s="4">
        <v>19062</v>
      </c>
      <c r="B13" s="4" t="s">
        <v>7</v>
      </c>
      <c r="C13">
        <v>4.5</v>
      </c>
      <c r="D13" s="4" t="str">
        <f t="shared" si="0"/>
        <v>Medium</v>
      </c>
    </row>
    <row r="14" spans="1:14" x14ac:dyDescent="0.3">
      <c r="A14" s="4">
        <v>19063</v>
      </c>
      <c r="B14" s="4" t="s">
        <v>8</v>
      </c>
      <c r="C14">
        <v>4</v>
      </c>
      <c r="D14" s="4" t="str">
        <f t="shared" si="0"/>
        <v>High</v>
      </c>
    </row>
    <row r="15" spans="1:14" x14ac:dyDescent="0.3">
      <c r="A15" s="4">
        <v>19064</v>
      </c>
      <c r="B15" s="4" t="s">
        <v>4</v>
      </c>
      <c r="C15">
        <v>3.8</v>
      </c>
      <c r="D15" s="4" t="str">
        <f t="shared" si="0"/>
        <v>Medium</v>
      </c>
    </row>
    <row r="16" spans="1:14" x14ac:dyDescent="0.3">
      <c r="A16" s="4">
        <v>19065</v>
      </c>
      <c r="B16" s="4" t="s">
        <v>1</v>
      </c>
      <c r="C16">
        <v>4.9000000000000004</v>
      </c>
      <c r="D16" s="4" t="str">
        <f t="shared" si="0"/>
        <v>Medium</v>
      </c>
    </row>
    <row r="17" spans="1:4" x14ac:dyDescent="0.3">
      <c r="A17" s="4">
        <v>19066</v>
      </c>
      <c r="B17" s="4" t="s">
        <v>2</v>
      </c>
      <c r="D17" s="4"/>
    </row>
    <row r="18" spans="1:4" x14ac:dyDescent="0.3">
      <c r="A18" s="4">
        <v>19067</v>
      </c>
      <c r="B18" s="4" t="s">
        <v>3</v>
      </c>
      <c r="D18" s="4"/>
    </row>
    <row r="19" spans="1:4" x14ac:dyDescent="0.3">
      <c r="A19" s="4">
        <v>19068</v>
      </c>
      <c r="B19" s="4" t="s">
        <v>9</v>
      </c>
      <c r="D19" s="4"/>
    </row>
    <row r="20" spans="1:4" x14ac:dyDescent="0.3">
      <c r="A20" s="4">
        <v>19069</v>
      </c>
      <c r="B20" s="4" t="s">
        <v>7</v>
      </c>
      <c r="D20" s="4"/>
    </row>
    <row r="21" spans="1:4" x14ac:dyDescent="0.3">
      <c r="A21" s="4">
        <v>19070</v>
      </c>
      <c r="B21" s="4" t="s">
        <v>8</v>
      </c>
      <c r="D21" s="4"/>
    </row>
    <row r="22" spans="1:4" x14ac:dyDescent="0.3">
      <c r="A22" s="4">
        <v>19071</v>
      </c>
      <c r="B22" s="4" t="s">
        <v>4</v>
      </c>
      <c r="D22" s="4"/>
    </row>
    <row r="23" spans="1:4" x14ac:dyDescent="0.3">
      <c r="A23" s="4">
        <v>19072</v>
      </c>
      <c r="B23" s="4" t="s">
        <v>1</v>
      </c>
      <c r="D23" s="4"/>
    </row>
    <row r="24" spans="1:4" x14ac:dyDescent="0.3">
      <c r="A24" s="4">
        <v>19073</v>
      </c>
      <c r="B24" s="4" t="s">
        <v>2</v>
      </c>
      <c r="D24" s="4"/>
    </row>
    <row r="25" spans="1:4" x14ac:dyDescent="0.3">
      <c r="A25" s="4">
        <v>19074</v>
      </c>
      <c r="B25" s="4" t="s">
        <v>3</v>
      </c>
      <c r="D25" s="4"/>
    </row>
    <row r="26" spans="1:4" x14ac:dyDescent="0.3">
      <c r="A26" s="4">
        <v>19075</v>
      </c>
      <c r="B26" s="4" t="s">
        <v>9</v>
      </c>
      <c r="D26" s="4"/>
    </row>
    <row r="27" spans="1:4" x14ac:dyDescent="0.3">
      <c r="A27" s="4">
        <v>19076</v>
      </c>
      <c r="B27" s="4" t="s">
        <v>7</v>
      </c>
      <c r="D27" s="4"/>
    </row>
    <row r="28" spans="1:4" x14ac:dyDescent="0.3">
      <c r="A28" s="4">
        <v>19077</v>
      </c>
      <c r="B28" s="4" t="s">
        <v>8</v>
      </c>
      <c r="D28" s="4"/>
    </row>
    <row r="29" spans="1:4" x14ac:dyDescent="0.3">
      <c r="A29" s="4">
        <v>19078</v>
      </c>
      <c r="B29" s="4" t="s">
        <v>4</v>
      </c>
      <c r="D29" s="4"/>
    </row>
    <row r="30" spans="1:4" x14ac:dyDescent="0.3">
      <c r="A30" s="4">
        <v>19079</v>
      </c>
      <c r="B30" s="4" t="s">
        <v>1</v>
      </c>
      <c r="D30" s="4"/>
    </row>
    <row r="31" spans="1:4" x14ac:dyDescent="0.3">
      <c r="A31" s="4">
        <v>19080</v>
      </c>
      <c r="B31" s="4" t="s">
        <v>2</v>
      </c>
      <c r="D31" s="4"/>
    </row>
    <row r="32" spans="1:4" x14ac:dyDescent="0.3">
      <c r="A32" s="4">
        <v>19081</v>
      </c>
      <c r="B32" s="4" t="s">
        <v>3</v>
      </c>
      <c r="D32" s="4"/>
    </row>
    <row r="33" spans="1:4" x14ac:dyDescent="0.3">
      <c r="A33" s="4">
        <v>19082</v>
      </c>
      <c r="B33" s="4" t="s">
        <v>9</v>
      </c>
      <c r="D33" s="4"/>
    </row>
    <row r="34" spans="1:4" x14ac:dyDescent="0.3">
      <c r="A34" s="4">
        <v>19083</v>
      </c>
      <c r="B34" s="4" t="s">
        <v>7</v>
      </c>
      <c r="D34" s="4"/>
    </row>
    <row r="35" spans="1:4" x14ac:dyDescent="0.3">
      <c r="A35" s="4">
        <v>19084</v>
      </c>
      <c r="B35" s="4" t="s">
        <v>8</v>
      </c>
      <c r="D35" s="4"/>
    </row>
    <row r="36" spans="1:4" x14ac:dyDescent="0.3">
      <c r="A36" s="4">
        <v>19085</v>
      </c>
      <c r="B36" s="4" t="s">
        <v>4</v>
      </c>
      <c r="D36" s="4"/>
    </row>
    <row r="37" spans="1:4" x14ac:dyDescent="0.3">
      <c r="A37" s="4">
        <v>19086</v>
      </c>
      <c r="B37" s="4" t="s">
        <v>1</v>
      </c>
      <c r="D37" s="4"/>
    </row>
    <row r="38" spans="1:4" x14ac:dyDescent="0.3">
      <c r="A38" s="4">
        <v>19087</v>
      </c>
      <c r="B38" s="4" t="s">
        <v>2</v>
      </c>
      <c r="D38" s="4"/>
    </row>
    <row r="39" spans="1:4" x14ac:dyDescent="0.3">
      <c r="A39" s="4">
        <v>19088</v>
      </c>
      <c r="B39" s="4" t="s">
        <v>3</v>
      </c>
      <c r="D39" s="4"/>
    </row>
    <row r="40" spans="1:4" x14ac:dyDescent="0.3">
      <c r="A40" s="4">
        <v>19089</v>
      </c>
      <c r="B40" s="4" t="s">
        <v>9</v>
      </c>
      <c r="D40" s="4"/>
    </row>
    <row r="41" spans="1:4" x14ac:dyDescent="0.3">
      <c r="A41" s="4">
        <v>19090</v>
      </c>
      <c r="B41" s="4" t="s">
        <v>7</v>
      </c>
      <c r="D41" s="4"/>
    </row>
    <row r="42" spans="1:4" x14ac:dyDescent="0.3">
      <c r="A42" s="4">
        <v>19091</v>
      </c>
      <c r="B42" s="4" t="s">
        <v>8</v>
      </c>
      <c r="D42" s="4"/>
    </row>
    <row r="43" spans="1:4" x14ac:dyDescent="0.3">
      <c r="A43" s="4">
        <v>19092</v>
      </c>
      <c r="B43" s="4" t="s">
        <v>4</v>
      </c>
      <c r="D43" s="4"/>
    </row>
    <row r="44" spans="1:4" x14ac:dyDescent="0.3">
      <c r="A44" s="4">
        <v>19093</v>
      </c>
      <c r="B44" s="4" t="s">
        <v>1</v>
      </c>
      <c r="D44" s="4"/>
    </row>
    <row r="45" spans="1:4" x14ac:dyDescent="0.3">
      <c r="A45" s="4">
        <v>19094</v>
      </c>
      <c r="B45" s="4" t="s">
        <v>2</v>
      </c>
      <c r="D45" s="4"/>
    </row>
    <row r="46" spans="1:4" x14ac:dyDescent="0.3">
      <c r="A46" s="4">
        <v>19095</v>
      </c>
      <c r="B46" s="4" t="s">
        <v>3</v>
      </c>
      <c r="D46" s="4"/>
    </row>
    <row r="47" spans="1:4" x14ac:dyDescent="0.3">
      <c r="A47" s="4">
        <v>19096</v>
      </c>
      <c r="B47" s="4" t="s">
        <v>9</v>
      </c>
      <c r="D47" s="4"/>
    </row>
    <row r="48" spans="1:4" x14ac:dyDescent="0.3">
      <c r="A48" s="4">
        <v>19097</v>
      </c>
      <c r="B48" s="4" t="s">
        <v>7</v>
      </c>
      <c r="D48" s="4"/>
    </row>
    <row r="49" spans="1:4" x14ac:dyDescent="0.3">
      <c r="A49" s="4">
        <v>19098</v>
      </c>
      <c r="B49" s="4" t="s">
        <v>8</v>
      </c>
      <c r="D49" s="4"/>
    </row>
    <row r="50" spans="1:4" x14ac:dyDescent="0.3">
      <c r="A50" s="4">
        <v>19099</v>
      </c>
      <c r="B50" s="4" t="s">
        <v>4</v>
      </c>
      <c r="D50" s="4"/>
    </row>
    <row r="51" spans="1:4" x14ac:dyDescent="0.3">
      <c r="A51" s="4">
        <v>19100</v>
      </c>
      <c r="B51" s="4" t="s">
        <v>1</v>
      </c>
      <c r="D51" s="4"/>
    </row>
  </sheetData>
  <conditionalFormatting sqref="D2:D16">
    <cfRule type="containsText" dxfId="1" priority="7" stopIfTrue="1" operator="containsText" text="High">
      <formula>NOT(ISERROR(SEARCH("High",D2)))</formula>
    </cfRule>
    <cfRule type="containsText" dxfId="0" priority="6" stopIfTrue="1" operator="containsText" text="Medium">
      <formula>NOT(ISERROR(SEARCH("Medium",D2)))</formula>
    </cfRule>
  </conditionalFormatting>
  <conditionalFormatting sqref="K12">
    <cfRule type="dataBar" priority="1">
      <dataBar>
        <cfvo type="percent" val="0"/>
        <cfvo type="percent" val="$K$12"/>
        <color rgb="FFD6007B"/>
      </dataBar>
      <extLst>
        <ext xmlns:x14="http://schemas.microsoft.com/office/spreadsheetml/2009/9/main" uri="{B025F937-C7B1-47D3-B67F-A62EFF666E3E}">
          <x14:id>{951F68EA-DE4A-41F0-8916-9CF7860705E0}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1E1B2C83-724E-4ED1-95F7-1D9431CF6EAF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14:cfRule type="iconSet" priority="3" id="{29DD38F6-0878-4DCF-AD81-5C1C9F2E3DFA}">
            <x14:iconSet iconSet="3Stars">
              <x14:cfvo type="percent">
                <xm:f>0</xm:f>
              </x14:cfvo>
              <x14:cfvo type="percent" gte="0">
                <xm:f>3</xm:f>
              </x14:cfvo>
              <x14:cfvo type="percent">
                <xm:f>4</xm:f>
              </x14:cfvo>
            </x14:iconSet>
          </x14:cfRule>
          <xm:sqref>C1:C1048576</xm:sqref>
        </x14:conditionalFormatting>
        <x14:conditionalFormatting xmlns:xm="http://schemas.microsoft.com/office/excel/2006/main">
          <x14:cfRule type="dataBar" id="{951F68EA-DE4A-41F0-8916-9CF7860705E0}">
            <x14:dataBar minLength="0" maxLength="100" border="1" negativeBarBorderColorSameAsPositive="0">
              <x14:cfvo type="percent">
                <xm:f>0</xm:f>
              </x14:cfvo>
              <x14:cfvo type="percent">
                <xm:f>$K$12</xm:f>
              </x14:cfvo>
              <x14:borderColor rgb="FFD6007B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7B2E-885E-43F8-905C-B09A39CA6ED0}">
  <dimension ref="A1:P51"/>
  <sheetViews>
    <sheetView zoomScale="112" zoomScaleNormal="112" workbookViewId="0">
      <selection activeCell="K7" sqref="K7"/>
    </sheetView>
  </sheetViews>
  <sheetFormatPr defaultRowHeight="14.4" x14ac:dyDescent="0.3"/>
  <cols>
    <col min="1" max="1" width="13.6640625" customWidth="1"/>
    <col min="2" max="2" width="14.77734375" customWidth="1"/>
    <col min="3" max="3" width="12.33203125" customWidth="1"/>
    <col min="4" max="4" width="10.21875" customWidth="1"/>
    <col min="6" max="6" width="14.21875" customWidth="1"/>
    <col min="7" max="7" width="12.109375" customWidth="1"/>
    <col min="8" max="8" width="15.44140625" customWidth="1"/>
    <col min="9" max="9" width="20.5546875" customWidth="1"/>
    <col min="10" max="10" width="13" customWidth="1"/>
    <col min="11" max="11" width="14.33203125" customWidth="1"/>
    <col min="12" max="12" width="11.5546875" customWidth="1"/>
    <col min="13" max="13" width="11" customWidth="1"/>
  </cols>
  <sheetData>
    <row r="1" spans="1:16" x14ac:dyDescent="0.3">
      <c r="A1" t="s">
        <v>61</v>
      </c>
      <c r="B1" t="s">
        <v>12</v>
      </c>
      <c r="C1" t="s">
        <v>0</v>
      </c>
      <c r="D1" t="s">
        <v>13</v>
      </c>
      <c r="E1" t="s">
        <v>14</v>
      </c>
      <c r="F1" t="s">
        <v>15</v>
      </c>
      <c r="G1" t="s">
        <v>16</v>
      </c>
      <c r="H1" t="s">
        <v>25</v>
      </c>
      <c r="I1" t="s">
        <v>53</v>
      </c>
      <c r="J1" t="s">
        <v>48</v>
      </c>
    </row>
    <row r="2" spans="1:16" x14ac:dyDescent="0.3">
      <c r="A2">
        <v>19051</v>
      </c>
      <c r="B2" t="s">
        <v>1</v>
      </c>
      <c r="C2" s="1">
        <v>45974</v>
      </c>
      <c r="D2">
        <v>3</v>
      </c>
      <c r="E2">
        <v>20000</v>
      </c>
      <c r="F2">
        <f>SUM(E2*D2)</f>
        <v>60000</v>
      </c>
      <c r="G2" t="str">
        <f>VLOOKUP(Table6[[#This Row],[Product name]],Table1[],2,FALSE)</f>
        <v>electronics</v>
      </c>
      <c r="H2" t="str">
        <f>VLOOKUP(Table6[[#This Row],[Product name]],'product details'!$A$2:$C$9,3,0)</f>
        <v>iphone</v>
      </c>
      <c r="I2">
        <v>150000</v>
      </c>
      <c r="J2" t="str">
        <f>TEXT(Table6[[#This Row],[Date]],"mmm")</f>
        <v>Nov</v>
      </c>
    </row>
    <row r="3" spans="1:16" x14ac:dyDescent="0.3">
      <c r="A3">
        <v>19052</v>
      </c>
      <c r="B3" t="s">
        <v>2</v>
      </c>
      <c r="C3" s="1">
        <v>45975</v>
      </c>
      <c r="D3">
        <v>6</v>
      </c>
      <c r="E3">
        <v>89000</v>
      </c>
      <c r="F3">
        <f t="shared" ref="F3:F16" si="0">SUM(E3*D3)</f>
        <v>534000</v>
      </c>
      <c r="G3" t="str">
        <f>VLOOKUP(Table6[[#This Row],[Product name]],Table1[],2,FALSE)</f>
        <v>electronics</v>
      </c>
      <c r="H3" t="str">
        <f>VLOOKUP(Table6[[#This Row],[Product name]],'product details'!$A$2:$C$9,3,0)</f>
        <v>dell</v>
      </c>
      <c r="I3">
        <v>150000</v>
      </c>
      <c r="J3" t="str">
        <f>TEXT(Table6[[#This Row],[Date]],"mmm")</f>
        <v>Nov</v>
      </c>
    </row>
    <row r="4" spans="1:16" x14ac:dyDescent="0.3">
      <c r="A4">
        <v>19053</v>
      </c>
      <c r="B4" t="s">
        <v>3</v>
      </c>
      <c r="C4" s="1">
        <v>45976</v>
      </c>
      <c r="D4">
        <v>2</v>
      </c>
      <c r="E4">
        <v>6000</v>
      </c>
      <c r="F4">
        <f t="shared" si="0"/>
        <v>12000</v>
      </c>
      <c r="G4" t="str">
        <f>VLOOKUP(Table6[[#This Row],[Product name]],Table1[],2,FALSE)</f>
        <v>accessories</v>
      </c>
      <c r="H4" t="str">
        <f>VLOOKUP(Table6[[#This Row],[Product name]],'product details'!$A$2:$C$9,3,0)</f>
        <v>realme</v>
      </c>
      <c r="I4">
        <v>150000</v>
      </c>
      <c r="J4" t="str">
        <f>TEXT(Table6[[#This Row],[Date]],"mmm")</f>
        <v>Nov</v>
      </c>
      <c r="L4" s="2"/>
      <c r="M4" s="2"/>
      <c r="O4" s="2"/>
      <c r="P4" s="2"/>
    </row>
    <row r="5" spans="1:16" x14ac:dyDescent="0.3">
      <c r="A5">
        <v>19054</v>
      </c>
      <c r="B5" t="s">
        <v>9</v>
      </c>
      <c r="C5" s="1">
        <v>45977</v>
      </c>
      <c r="D5">
        <v>8</v>
      </c>
      <c r="E5">
        <v>56000</v>
      </c>
      <c r="F5">
        <f t="shared" si="0"/>
        <v>448000</v>
      </c>
      <c r="G5" t="str">
        <f>VLOOKUP(Table6[[#This Row],[Product name]],Table1[],2,FALSE)</f>
        <v>electronics</v>
      </c>
      <c r="H5" t="str">
        <f>VLOOKUP(Table6[[#This Row],[Product name]],'product details'!$A$2:$C$9,3,0)</f>
        <v>wearfit</v>
      </c>
      <c r="I5">
        <v>150000</v>
      </c>
      <c r="J5" t="str">
        <f>TEXT(Table6[[#This Row],[Date]],"mmm")</f>
        <v>Nov</v>
      </c>
    </row>
    <row r="6" spans="1:16" x14ac:dyDescent="0.3">
      <c r="A6">
        <v>19055</v>
      </c>
      <c r="B6" t="s">
        <v>7</v>
      </c>
      <c r="C6" s="1">
        <v>45978</v>
      </c>
      <c r="D6">
        <v>3</v>
      </c>
      <c r="E6">
        <v>45600</v>
      </c>
      <c r="F6">
        <f t="shared" si="0"/>
        <v>136800</v>
      </c>
      <c r="G6" t="str">
        <f>VLOOKUP(Table6[[#This Row],[Product name]],Table1[],2,FALSE)</f>
        <v>accessories</v>
      </c>
      <c r="H6" t="str">
        <f>VLOOKUP(Table6[[#This Row],[Product name]],'product details'!$A$2:$C$9,3,0)</f>
        <v>hp</v>
      </c>
      <c r="I6">
        <v>150000</v>
      </c>
      <c r="J6" t="str">
        <f>TEXT(Table6[[#This Row],[Date]],"mmm")</f>
        <v>Nov</v>
      </c>
    </row>
    <row r="7" spans="1:16" x14ac:dyDescent="0.3">
      <c r="A7">
        <v>19056</v>
      </c>
      <c r="B7" t="s">
        <v>8</v>
      </c>
      <c r="C7" s="1">
        <v>45979</v>
      </c>
      <c r="D7">
        <v>2</v>
      </c>
      <c r="E7">
        <v>67000</v>
      </c>
      <c r="F7">
        <f t="shared" si="0"/>
        <v>134000</v>
      </c>
      <c r="G7" t="str">
        <f>VLOOKUP(Table6[[#This Row],[Product name]],Table1[],2,FALSE)</f>
        <v>storage</v>
      </c>
      <c r="H7" t="str">
        <f>VLOOKUP(Table6[[#This Row],[Product name]],'product details'!$A$2:$C$9,3,0)</f>
        <v>70gb</v>
      </c>
      <c r="I7">
        <v>150000</v>
      </c>
      <c r="J7" t="str">
        <f>TEXT(Table6[[#This Row],[Date]],"mmm")</f>
        <v>Nov</v>
      </c>
    </row>
    <row r="8" spans="1:16" x14ac:dyDescent="0.3">
      <c r="A8">
        <v>19057</v>
      </c>
      <c r="B8" t="s">
        <v>4</v>
      </c>
      <c r="C8" s="1">
        <v>45980</v>
      </c>
      <c r="D8">
        <v>5</v>
      </c>
      <c r="E8">
        <v>8900</v>
      </c>
      <c r="F8">
        <f t="shared" si="0"/>
        <v>44500</v>
      </c>
      <c r="G8" t="str">
        <f>VLOOKUP(Table6[[#This Row],[Product name]],Table1[],2,FALSE)</f>
        <v>accessories</v>
      </c>
      <c r="H8" t="str">
        <f>VLOOKUP(Table6[[#This Row],[Product name]],'product details'!$A$2:$C$9,3,0)</f>
        <v>samsung</v>
      </c>
      <c r="I8">
        <v>150000</v>
      </c>
      <c r="J8" t="str">
        <f>TEXT(Table6[[#This Row],[Date]],"mmm")</f>
        <v>Nov</v>
      </c>
    </row>
    <row r="9" spans="1:16" x14ac:dyDescent="0.3">
      <c r="A9">
        <v>19058</v>
      </c>
      <c r="B9" t="s">
        <v>1</v>
      </c>
      <c r="C9" s="1">
        <v>45981</v>
      </c>
      <c r="D9">
        <v>6</v>
      </c>
      <c r="E9">
        <v>23000</v>
      </c>
      <c r="F9">
        <f t="shared" si="0"/>
        <v>138000</v>
      </c>
      <c r="G9" t="str">
        <f>VLOOKUP(Table6[[#This Row],[Product name]],Table1[],2,FALSE)</f>
        <v>electronics</v>
      </c>
      <c r="H9" t="str">
        <f>VLOOKUP(Table6[[#This Row],[Product name]],'product details'!$A$2:$C$9,3,0)</f>
        <v>iphone</v>
      </c>
      <c r="I9">
        <v>150000</v>
      </c>
      <c r="J9" t="str">
        <f>TEXT(Table6[[#This Row],[Date]],"mmm")</f>
        <v>Nov</v>
      </c>
    </row>
    <row r="10" spans="1:16" x14ac:dyDescent="0.3">
      <c r="A10">
        <v>19059</v>
      </c>
      <c r="B10" t="s">
        <v>2</v>
      </c>
      <c r="C10" s="1">
        <v>45982</v>
      </c>
      <c r="D10">
        <v>4</v>
      </c>
      <c r="E10">
        <v>67000</v>
      </c>
      <c r="F10">
        <f t="shared" si="0"/>
        <v>268000</v>
      </c>
      <c r="G10" t="str">
        <f>VLOOKUP(Table6[[#This Row],[Product name]],Table1[],2,FALSE)</f>
        <v>electronics</v>
      </c>
      <c r="H10" t="str">
        <f>VLOOKUP(Table6[[#This Row],[Product name]],'product details'!$A$2:$C$9,3,0)</f>
        <v>dell</v>
      </c>
      <c r="I10">
        <v>150000</v>
      </c>
      <c r="J10" t="str">
        <f>TEXT(Table6[[#This Row],[Date]],"mmm")</f>
        <v>Nov</v>
      </c>
    </row>
    <row r="11" spans="1:16" x14ac:dyDescent="0.3">
      <c r="A11">
        <v>19060</v>
      </c>
      <c r="B11" t="s">
        <v>3</v>
      </c>
      <c r="C11" s="1">
        <v>45983</v>
      </c>
      <c r="D11">
        <v>3</v>
      </c>
      <c r="E11">
        <v>45000</v>
      </c>
      <c r="F11">
        <f t="shared" si="0"/>
        <v>135000</v>
      </c>
      <c r="G11" t="str">
        <f>VLOOKUP(Table6[[#This Row],[Product name]],Table1[],2,FALSE)</f>
        <v>accessories</v>
      </c>
      <c r="H11" t="str">
        <f>VLOOKUP(Table6[[#This Row],[Product name]],'product details'!$A$2:$C$9,3,0)</f>
        <v>realme</v>
      </c>
      <c r="I11">
        <v>150000</v>
      </c>
      <c r="J11" t="str">
        <f>TEXT(Table6[[#This Row],[Date]],"mmm")</f>
        <v>Nov</v>
      </c>
    </row>
    <row r="12" spans="1:16" x14ac:dyDescent="0.3">
      <c r="A12">
        <v>19061</v>
      </c>
      <c r="B12" t="s">
        <v>9</v>
      </c>
      <c r="C12" s="1">
        <v>45984</v>
      </c>
      <c r="D12">
        <v>2</v>
      </c>
      <c r="E12">
        <v>34000</v>
      </c>
      <c r="F12">
        <f t="shared" si="0"/>
        <v>68000</v>
      </c>
      <c r="G12" t="str">
        <f>VLOOKUP(Table6[[#This Row],[Product name]],Table1[],2,FALSE)</f>
        <v>electronics</v>
      </c>
      <c r="H12" t="str">
        <f>VLOOKUP(Table6[[#This Row],[Product name]],'product details'!$A$2:$C$9,3,0)</f>
        <v>wearfit</v>
      </c>
      <c r="I12">
        <v>150000</v>
      </c>
      <c r="J12" t="str">
        <f>TEXT(Table6[[#This Row],[Date]],"mmm")</f>
        <v>Nov</v>
      </c>
    </row>
    <row r="13" spans="1:16" x14ac:dyDescent="0.3">
      <c r="A13">
        <v>19062</v>
      </c>
      <c r="B13" t="s">
        <v>7</v>
      </c>
      <c r="C13" s="1">
        <v>45985</v>
      </c>
      <c r="D13">
        <v>3</v>
      </c>
      <c r="E13">
        <v>23900</v>
      </c>
      <c r="F13">
        <f t="shared" si="0"/>
        <v>71700</v>
      </c>
      <c r="G13" t="str">
        <f>VLOOKUP(Table6[[#This Row],[Product name]],Table1[],2,FALSE)</f>
        <v>accessories</v>
      </c>
      <c r="H13" t="str">
        <f>VLOOKUP(Table6[[#This Row],[Product name]],'product details'!$A$2:$C$9,3,0)</f>
        <v>hp</v>
      </c>
      <c r="I13">
        <v>150000</v>
      </c>
      <c r="J13" t="str">
        <f>TEXT(Table6[[#This Row],[Date]],"mmm")</f>
        <v>Nov</v>
      </c>
    </row>
    <row r="14" spans="1:16" x14ac:dyDescent="0.3">
      <c r="A14">
        <v>19063</v>
      </c>
      <c r="B14" t="s">
        <v>8</v>
      </c>
      <c r="C14" s="1">
        <v>45986</v>
      </c>
      <c r="D14">
        <v>4</v>
      </c>
      <c r="E14">
        <v>10000</v>
      </c>
      <c r="F14">
        <f t="shared" si="0"/>
        <v>40000</v>
      </c>
      <c r="G14" t="str">
        <f>VLOOKUP(Table6[[#This Row],[Product name]],Table1[],2,FALSE)</f>
        <v>storage</v>
      </c>
      <c r="H14" t="str">
        <f>VLOOKUP(Table6[[#This Row],[Product name]],'product details'!$A$2:$C$9,3,0)</f>
        <v>70gb</v>
      </c>
      <c r="I14">
        <v>150000</v>
      </c>
      <c r="J14" t="str">
        <f>TEXT(Table6[[#This Row],[Date]],"mmm")</f>
        <v>Nov</v>
      </c>
    </row>
    <row r="15" spans="1:16" x14ac:dyDescent="0.3">
      <c r="A15">
        <v>19064</v>
      </c>
      <c r="B15" t="s">
        <v>4</v>
      </c>
      <c r="C15" s="1">
        <v>45987</v>
      </c>
      <c r="D15">
        <v>1</v>
      </c>
      <c r="E15">
        <v>1500</v>
      </c>
      <c r="F15">
        <f t="shared" si="0"/>
        <v>1500</v>
      </c>
      <c r="G15" t="str">
        <f>VLOOKUP(Table6[[#This Row],[Product name]],Table1[],2,FALSE)</f>
        <v>accessories</v>
      </c>
      <c r="H15" t="str">
        <f>VLOOKUP(Table6[[#This Row],[Product name]],'product details'!$A$2:$C$9,3,0)</f>
        <v>samsung</v>
      </c>
      <c r="I15">
        <v>150000</v>
      </c>
      <c r="J15" t="str">
        <f>TEXT(Table6[[#This Row],[Date]],"mmm")</f>
        <v>Nov</v>
      </c>
    </row>
    <row r="16" spans="1:16" x14ac:dyDescent="0.3">
      <c r="A16">
        <v>19065</v>
      </c>
      <c r="B16" t="s">
        <v>1</v>
      </c>
      <c r="C16" s="1">
        <v>45988</v>
      </c>
      <c r="D16">
        <v>2</v>
      </c>
      <c r="E16">
        <v>22000</v>
      </c>
      <c r="F16">
        <f t="shared" si="0"/>
        <v>44000</v>
      </c>
      <c r="G16" t="str">
        <f>VLOOKUP(Table6[[#This Row],[Product name]],Table1[],2,FALSE)</f>
        <v>electronics</v>
      </c>
      <c r="H16" t="str">
        <f>VLOOKUP(Table6[[#This Row],[Product name]],'product details'!$A$2:$C$9,3,0)</f>
        <v>iphone</v>
      </c>
      <c r="I16">
        <v>150000</v>
      </c>
      <c r="J16" t="str">
        <f>TEXT(Table6[[#This Row],[Date]],"mmm")</f>
        <v>Nov</v>
      </c>
    </row>
    <row r="17" spans="1:15" x14ac:dyDescent="0.3">
      <c r="A17">
        <v>19066</v>
      </c>
      <c r="B17" t="s">
        <v>2</v>
      </c>
      <c r="C17" s="1">
        <v>45989</v>
      </c>
      <c r="D17">
        <v>6</v>
      </c>
      <c r="G17" t="str">
        <f>VLOOKUP(Table6[[#This Row],[Product name]],Table1[],2,FALSE)</f>
        <v>electronics</v>
      </c>
      <c r="H17" t="str">
        <f>VLOOKUP(Table6[[#This Row],[Product name]],'product details'!$A$2:$C$9,3,0)</f>
        <v>dell</v>
      </c>
      <c r="I17">
        <v>150000</v>
      </c>
      <c r="J17" t="str">
        <f>TEXT(Table6[[#This Row],[Date]],"mmm")</f>
        <v>Nov</v>
      </c>
    </row>
    <row r="18" spans="1:15" x14ac:dyDescent="0.3">
      <c r="A18">
        <v>19067</v>
      </c>
      <c r="B18" t="s">
        <v>3</v>
      </c>
      <c r="C18" s="1">
        <v>45990</v>
      </c>
      <c r="D18">
        <v>4</v>
      </c>
      <c r="G18" t="str">
        <f>VLOOKUP(Table6[[#This Row],[Product name]],Table1[],2,FALSE)</f>
        <v>accessories</v>
      </c>
      <c r="H18" t="str">
        <f>VLOOKUP(Table6[[#This Row],[Product name]],'product details'!$A$2:$C$9,3,0)</f>
        <v>realme</v>
      </c>
      <c r="I18">
        <v>150000</v>
      </c>
      <c r="J18" t="str">
        <f>TEXT(Table6[[#This Row],[Date]],"mmm")</f>
        <v>Nov</v>
      </c>
      <c r="L18" s="2"/>
      <c r="N18" s="2"/>
      <c r="O18" s="2"/>
    </row>
    <row r="19" spans="1:15" x14ac:dyDescent="0.3">
      <c r="A19">
        <v>19068</v>
      </c>
      <c r="B19" t="s">
        <v>9</v>
      </c>
      <c r="C19" s="1">
        <v>45991</v>
      </c>
      <c r="D19">
        <v>6</v>
      </c>
      <c r="G19" t="str">
        <f>VLOOKUP(Table6[[#This Row],[Product name]],Table1[],2,FALSE)</f>
        <v>electronics</v>
      </c>
      <c r="H19" t="str">
        <f>VLOOKUP(Table6[[#This Row],[Product name]],'product details'!$A$2:$C$9,3,0)</f>
        <v>wearfit</v>
      </c>
      <c r="I19">
        <v>150000</v>
      </c>
      <c r="J19" t="str">
        <f>TEXT(Table6[[#This Row],[Date]],"mmm")</f>
        <v>Nov</v>
      </c>
    </row>
    <row r="20" spans="1:15" x14ac:dyDescent="0.3">
      <c r="A20">
        <v>19069</v>
      </c>
      <c r="B20" t="s">
        <v>7</v>
      </c>
      <c r="C20" s="1">
        <v>45992</v>
      </c>
      <c r="D20">
        <v>4</v>
      </c>
      <c r="G20" t="str">
        <f>VLOOKUP(Table6[[#This Row],[Product name]],Table1[],2,FALSE)</f>
        <v>accessories</v>
      </c>
      <c r="H20" t="str">
        <f>VLOOKUP(Table6[[#This Row],[Product name]],'product details'!$A$2:$C$9,3,0)</f>
        <v>hp</v>
      </c>
      <c r="I20">
        <v>150000</v>
      </c>
      <c r="J20" t="str">
        <f>TEXT(Table6[[#This Row],[Date]],"mmm")</f>
        <v>Dec</v>
      </c>
    </row>
    <row r="21" spans="1:15" x14ac:dyDescent="0.3">
      <c r="A21">
        <v>19070</v>
      </c>
      <c r="B21" t="s">
        <v>8</v>
      </c>
      <c r="C21" s="1">
        <v>45993</v>
      </c>
      <c r="D21">
        <v>2</v>
      </c>
      <c r="G21" t="str">
        <f>VLOOKUP(Table6[[#This Row],[Product name]],Table1[],2,FALSE)</f>
        <v>storage</v>
      </c>
      <c r="H21" t="str">
        <f>VLOOKUP(Table6[[#This Row],[Product name]],'product details'!$A$2:$C$9,3,0)</f>
        <v>70gb</v>
      </c>
      <c r="I21">
        <v>150000</v>
      </c>
      <c r="J21" t="str">
        <f>TEXT(Table6[[#This Row],[Date]],"mmm")</f>
        <v>Dec</v>
      </c>
    </row>
    <row r="22" spans="1:15" x14ac:dyDescent="0.3">
      <c r="A22">
        <v>19071</v>
      </c>
      <c r="B22" t="s">
        <v>4</v>
      </c>
      <c r="C22" s="1">
        <v>45994</v>
      </c>
      <c r="D22">
        <v>3</v>
      </c>
      <c r="G22" t="str">
        <f>VLOOKUP(Table6[[#This Row],[Product name]],Table1[],2,FALSE)</f>
        <v>accessories</v>
      </c>
      <c r="H22" t="str">
        <f>VLOOKUP(Table6[[#This Row],[Product name]],'product details'!$A$2:$C$9,3,0)</f>
        <v>samsung</v>
      </c>
      <c r="I22">
        <v>150000</v>
      </c>
      <c r="J22" t="str">
        <f>TEXT(Table6[[#This Row],[Date]],"mmm")</f>
        <v>Dec</v>
      </c>
    </row>
    <row r="23" spans="1:15" x14ac:dyDescent="0.3">
      <c r="A23">
        <v>19072</v>
      </c>
      <c r="B23" t="s">
        <v>1</v>
      </c>
      <c r="C23" s="1">
        <v>45995</v>
      </c>
      <c r="D23">
        <v>4</v>
      </c>
      <c r="G23" t="str">
        <f>VLOOKUP(Table6[[#This Row],[Product name]],Table1[],2,FALSE)</f>
        <v>electronics</v>
      </c>
      <c r="H23" t="str">
        <f>VLOOKUP(Table6[[#This Row],[Product name]],'product details'!$A$2:$C$9,3,0)</f>
        <v>iphone</v>
      </c>
      <c r="I23">
        <v>150000</v>
      </c>
      <c r="J23" t="str">
        <f>TEXT(Table6[[#This Row],[Date]],"mmm")</f>
        <v>Dec</v>
      </c>
    </row>
    <row r="24" spans="1:15" x14ac:dyDescent="0.3">
      <c r="A24">
        <v>19073</v>
      </c>
      <c r="B24" t="s">
        <v>2</v>
      </c>
      <c r="C24" s="1">
        <v>45996</v>
      </c>
      <c r="D24">
        <v>5</v>
      </c>
      <c r="G24" t="str">
        <f>VLOOKUP(Table6[[#This Row],[Product name]],Table1[],2,FALSE)</f>
        <v>electronics</v>
      </c>
      <c r="H24" t="str">
        <f>VLOOKUP(Table6[[#This Row],[Product name]],'product details'!$A$2:$C$9,3,0)</f>
        <v>dell</v>
      </c>
      <c r="I24">
        <v>150000</v>
      </c>
      <c r="J24" t="str">
        <f>TEXT(Table6[[#This Row],[Date]],"mmm")</f>
        <v>Dec</v>
      </c>
    </row>
    <row r="25" spans="1:15" x14ac:dyDescent="0.3">
      <c r="A25">
        <v>19074</v>
      </c>
      <c r="B25" t="s">
        <v>3</v>
      </c>
      <c r="C25" s="1">
        <v>45997</v>
      </c>
      <c r="D25">
        <v>2</v>
      </c>
      <c r="G25" t="str">
        <f>VLOOKUP(Table6[[#This Row],[Product name]],Table1[],2,FALSE)</f>
        <v>accessories</v>
      </c>
      <c r="H25" t="str">
        <f>VLOOKUP(Table6[[#This Row],[Product name]],'product details'!$A$2:$C$9,3,0)</f>
        <v>realme</v>
      </c>
      <c r="I25">
        <v>150000</v>
      </c>
      <c r="J25" t="str">
        <f>TEXT(Table6[[#This Row],[Date]],"mmm")</f>
        <v>Dec</v>
      </c>
    </row>
    <row r="26" spans="1:15" x14ac:dyDescent="0.3">
      <c r="A26">
        <v>19075</v>
      </c>
      <c r="B26" t="s">
        <v>9</v>
      </c>
      <c r="C26" s="1">
        <v>45998</v>
      </c>
      <c r="D26">
        <v>2</v>
      </c>
      <c r="G26" t="str">
        <f>VLOOKUP(Table6[[#This Row],[Product name]],Table1[],2,FALSE)</f>
        <v>electronics</v>
      </c>
      <c r="H26" t="str">
        <f>VLOOKUP(Table6[[#This Row],[Product name]],'product details'!$A$2:$C$9,3,0)</f>
        <v>wearfit</v>
      </c>
      <c r="I26">
        <v>150000</v>
      </c>
      <c r="J26" t="str">
        <f>TEXT(Table6[[#This Row],[Date]],"mmm")</f>
        <v>Dec</v>
      </c>
    </row>
    <row r="27" spans="1:15" x14ac:dyDescent="0.3">
      <c r="A27">
        <v>19076</v>
      </c>
      <c r="B27" t="s">
        <v>7</v>
      </c>
      <c r="C27" s="1">
        <v>45999</v>
      </c>
      <c r="D27">
        <v>3</v>
      </c>
      <c r="G27" t="str">
        <f>VLOOKUP(Table6[[#This Row],[Product name]],Table1[],2,FALSE)</f>
        <v>accessories</v>
      </c>
      <c r="H27" t="str">
        <f>VLOOKUP(Table6[[#This Row],[Product name]],'product details'!$A$2:$C$9,3,0)</f>
        <v>hp</v>
      </c>
      <c r="I27">
        <v>150000</v>
      </c>
      <c r="J27" t="str">
        <f>TEXT(Table6[[#This Row],[Date]],"mmm")</f>
        <v>Dec</v>
      </c>
    </row>
    <row r="28" spans="1:15" x14ac:dyDescent="0.3">
      <c r="A28">
        <v>19077</v>
      </c>
      <c r="B28" t="s">
        <v>8</v>
      </c>
      <c r="C28" s="1">
        <v>46000</v>
      </c>
      <c r="D28">
        <v>4</v>
      </c>
      <c r="G28" t="str">
        <f>VLOOKUP(Table6[[#This Row],[Product name]],Table1[],2,FALSE)</f>
        <v>storage</v>
      </c>
      <c r="H28" t="str">
        <f>VLOOKUP(Table6[[#This Row],[Product name]],'product details'!$A$2:$C$9,3,0)</f>
        <v>70gb</v>
      </c>
      <c r="I28">
        <v>150000</v>
      </c>
      <c r="J28" t="str">
        <f>TEXT(Table6[[#This Row],[Date]],"mmm")</f>
        <v>Dec</v>
      </c>
    </row>
    <row r="29" spans="1:15" x14ac:dyDescent="0.3">
      <c r="A29">
        <v>19078</v>
      </c>
      <c r="B29" t="s">
        <v>4</v>
      </c>
      <c r="C29" s="1">
        <v>46001</v>
      </c>
      <c r="D29">
        <v>6</v>
      </c>
      <c r="G29" t="str">
        <f>VLOOKUP(Table6[[#This Row],[Product name]],Table1[],2,FALSE)</f>
        <v>accessories</v>
      </c>
      <c r="H29" t="str">
        <f>VLOOKUP(Table6[[#This Row],[Product name]],'product details'!$A$2:$C$9,3,0)</f>
        <v>samsung</v>
      </c>
      <c r="I29">
        <v>150000</v>
      </c>
      <c r="J29" t="str">
        <f>TEXT(Table6[[#This Row],[Date]],"mmm")</f>
        <v>Dec</v>
      </c>
    </row>
    <row r="30" spans="1:15" x14ac:dyDescent="0.3">
      <c r="A30">
        <v>19079</v>
      </c>
      <c r="B30" t="s">
        <v>1</v>
      </c>
      <c r="C30" s="1">
        <v>46002</v>
      </c>
      <c r="D30">
        <v>7</v>
      </c>
      <c r="G30" t="str">
        <f>VLOOKUP(Table6[[#This Row],[Product name]],Table1[],2,FALSE)</f>
        <v>electronics</v>
      </c>
      <c r="H30" t="str">
        <f>VLOOKUP(Table6[[#This Row],[Product name]],'product details'!$A$2:$C$9,3,0)</f>
        <v>iphone</v>
      </c>
      <c r="I30">
        <v>150000</v>
      </c>
      <c r="J30" t="str">
        <f>TEXT(Table6[[#This Row],[Date]],"mmm")</f>
        <v>Dec</v>
      </c>
    </row>
    <row r="31" spans="1:15" x14ac:dyDescent="0.3">
      <c r="A31">
        <v>19080</v>
      </c>
      <c r="B31" t="s">
        <v>2</v>
      </c>
      <c r="C31" s="1">
        <v>46003</v>
      </c>
      <c r="D31">
        <v>5</v>
      </c>
      <c r="G31" t="str">
        <f>VLOOKUP(Table6[[#This Row],[Product name]],Table1[],2,FALSE)</f>
        <v>electronics</v>
      </c>
      <c r="H31" t="str">
        <f>VLOOKUP(Table6[[#This Row],[Product name]],'product details'!$A$2:$C$9,3,0)</f>
        <v>dell</v>
      </c>
      <c r="I31">
        <v>150000</v>
      </c>
      <c r="J31" t="str">
        <f>TEXT(Table6[[#This Row],[Date]],"mmm")</f>
        <v>Dec</v>
      </c>
    </row>
    <row r="32" spans="1:15" x14ac:dyDescent="0.3">
      <c r="A32">
        <v>19081</v>
      </c>
      <c r="B32" t="s">
        <v>3</v>
      </c>
      <c r="C32" s="1">
        <v>46004</v>
      </c>
      <c r="D32">
        <v>4</v>
      </c>
      <c r="G32" t="str">
        <f>VLOOKUP(Table6[[#This Row],[Product name]],Table1[],2,FALSE)</f>
        <v>accessories</v>
      </c>
      <c r="H32" t="str">
        <f>VLOOKUP(Table6[[#This Row],[Product name]],'product details'!$A$2:$C$9,3,0)</f>
        <v>realme</v>
      </c>
      <c r="I32">
        <v>150000</v>
      </c>
      <c r="J32" t="str">
        <f>TEXT(Table6[[#This Row],[Date]],"mmm")</f>
        <v>Dec</v>
      </c>
    </row>
    <row r="33" spans="1:10" x14ac:dyDescent="0.3">
      <c r="A33">
        <v>19082</v>
      </c>
      <c r="B33" t="s">
        <v>9</v>
      </c>
      <c r="C33" s="1">
        <v>46005</v>
      </c>
      <c r="D33">
        <v>3</v>
      </c>
      <c r="G33" t="str">
        <f>VLOOKUP(Table6[[#This Row],[Product name]],Table1[],2,FALSE)</f>
        <v>electronics</v>
      </c>
      <c r="H33" t="str">
        <f>VLOOKUP(Table6[[#This Row],[Product name]],'product details'!$A$2:$C$9,3,0)</f>
        <v>wearfit</v>
      </c>
      <c r="I33">
        <v>150000</v>
      </c>
      <c r="J33" t="str">
        <f>TEXT(Table6[[#This Row],[Date]],"mmm")</f>
        <v>Dec</v>
      </c>
    </row>
    <row r="34" spans="1:10" x14ac:dyDescent="0.3">
      <c r="A34">
        <v>19083</v>
      </c>
      <c r="B34" t="s">
        <v>7</v>
      </c>
      <c r="C34" s="1">
        <v>46006</v>
      </c>
      <c r="D34">
        <v>2</v>
      </c>
      <c r="G34" t="str">
        <f>VLOOKUP(Table6[[#This Row],[Product name]],Table1[],2,FALSE)</f>
        <v>accessories</v>
      </c>
      <c r="H34" t="str">
        <f>VLOOKUP(Table6[[#This Row],[Product name]],'product details'!$A$2:$C$9,3,0)</f>
        <v>hp</v>
      </c>
      <c r="I34">
        <v>150000</v>
      </c>
      <c r="J34" t="str">
        <f>TEXT(Table6[[#This Row],[Date]],"mmm")</f>
        <v>Dec</v>
      </c>
    </row>
    <row r="35" spans="1:10" x14ac:dyDescent="0.3">
      <c r="A35">
        <v>19084</v>
      </c>
      <c r="B35" t="s">
        <v>8</v>
      </c>
      <c r="C35" s="1">
        <v>46007</v>
      </c>
      <c r="D35">
        <v>1</v>
      </c>
      <c r="G35" t="str">
        <f>VLOOKUP(Table6[[#This Row],[Product name]],Table1[],2,FALSE)</f>
        <v>storage</v>
      </c>
      <c r="H35" t="str">
        <f>VLOOKUP(Table6[[#This Row],[Product name]],'product details'!$A$2:$C$9,3,0)</f>
        <v>70gb</v>
      </c>
      <c r="I35">
        <v>150000</v>
      </c>
      <c r="J35" t="str">
        <f>TEXT(Table6[[#This Row],[Date]],"mmm")</f>
        <v>Dec</v>
      </c>
    </row>
    <row r="36" spans="1:10" x14ac:dyDescent="0.3">
      <c r="A36">
        <v>19085</v>
      </c>
      <c r="B36" t="s">
        <v>4</v>
      </c>
      <c r="C36" s="1">
        <v>46008</v>
      </c>
      <c r="D36">
        <v>6</v>
      </c>
      <c r="G36" t="str">
        <f>VLOOKUP(Table6[[#This Row],[Product name]],Table1[],2,FALSE)</f>
        <v>accessories</v>
      </c>
      <c r="H36" t="str">
        <f>VLOOKUP(Table6[[#This Row],[Product name]],'product details'!$A$2:$C$9,3,0)</f>
        <v>samsung</v>
      </c>
      <c r="I36">
        <v>150000</v>
      </c>
      <c r="J36" t="str">
        <f>TEXT(Table6[[#This Row],[Date]],"mmm")</f>
        <v>Dec</v>
      </c>
    </row>
    <row r="37" spans="1:10" x14ac:dyDescent="0.3">
      <c r="A37">
        <v>19086</v>
      </c>
      <c r="B37" t="s">
        <v>1</v>
      </c>
      <c r="C37" s="1">
        <v>46009</v>
      </c>
      <c r="D37">
        <v>7</v>
      </c>
      <c r="G37" t="str">
        <f>VLOOKUP(Table6[[#This Row],[Product name]],Table1[],2,FALSE)</f>
        <v>electronics</v>
      </c>
      <c r="H37" t="str">
        <f>VLOOKUP(Table6[[#This Row],[Product name]],'product details'!$A$2:$C$9,3,0)</f>
        <v>iphone</v>
      </c>
      <c r="I37">
        <v>150000</v>
      </c>
      <c r="J37" t="str">
        <f>TEXT(Table6[[#This Row],[Date]],"mmm")</f>
        <v>Dec</v>
      </c>
    </row>
    <row r="38" spans="1:10" x14ac:dyDescent="0.3">
      <c r="A38">
        <v>19087</v>
      </c>
      <c r="B38" t="s">
        <v>2</v>
      </c>
      <c r="C38" s="1">
        <v>46010</v>
      </c>
      <c r="D38">
        <v>7</v>
      </c>
      <c r="G38" t="str">
        <f>VLOOKUP(Table6[[#This Row],[Product name]],Table1[],2,FALSE)</f>
        <v>electronics</v>
      </c>
      <c r="H38" t="str">
        <f>VLOOKUP(Table6[[#This Row],[Product name]],'product details'!$A$2:$C$9,3,0)</f>
        <v>dell</v>
      </c>
      <c r="I38">
        <v>150000</v>
      </c>
      <c r="J38" t="str">
        <f>TEXT(Table6[[#This Row],[Date]],"mmm")</f>
        <v>Dec</v>
      </c>
    </row>
    <row r="39" spans="1:10" x14ac:dyDescent="0.3">
      <c r="A39">
        <v>19088</v>
      </c>
      <c r="B39" t="s">
        <v>3</v>
      </c>
      <c r="C39" s="1">
        <v>46011</v>
      </c>
      <c r="D39">
        <v>5</v>
      </c>
      <c r="G39" t="str">
        <f>VLOOKUP(Table6[[#This Row],[Product name]],Table1[],2,FALSE)</f>
        <v>accessories</v>
      </c>
      <c r="H39" t="str">
        <f>VLOOKUP(Table6[[#This Row],[Product name]],'product details'!$A$2:$C$9,3,0)</f>
        <v>realme</v>
      </c>
      <c r="I39">
        <v>150000</v>
      </c>
      <c r="J39" t="str">
        <f>TEXT(Table6[[#This Row],[Date]],"mmm")</f>
        <v>Dec</v>
      </c>
    </row>
    <row r="40" spans="1:10" x14ac:dyDescent="0.3">
      <c r="A40">
        <v>19089</v>
      </c>
      <c r="B40" t="s">
        <v>9</v>
      </c>
      <c r="C40" s="1">
        <v>46012</v>
      </c>
      <c r="D40">
        <v>4</v>
      </c>
      <c r="G40" t="str">
        <f>VLOOKUP(Table6[[#This Row],[Product name]],Table1[],2,FALSE)</f>
        <v>electronics</v>
      </c>
      <c r="H40" t="str">
        <f>VLOOKUP(Table6[[#This Row],[Product name]],'product details'!$A$2:$C$9,3,0)</f>
        <v>wearfit</v>
      </c>
      <c r="I40">
        <v>150000</v>
      </c>
      <c r="J40" t="str">
        <f>TEXT(Table6[[#This Row],[Date]],"mmm")</f>
        <v>Dec</v>
      </c>
    </row>
    <row r="41" spans="1:10" x14ac:dyDescent="0.3">
      <c r="A41">
        <v>19090</v>
      </c>
      <c r="B41" t="s">
        <v>7</v>
      </c>
      <c r="C41" s="1">
        <v>46013</v>
      </c>
      <c r="D41">
        <v>3</v>
      </c>
      <c r="G41" t="str">
        <f>VLOOKUP(Table6[[#This Row],[Product name]],Table1[],2,FALSE)</f>
        <v>accessories</v>
      </c>
      <c r="H41" t="str">
        <f>VLOOKUP(Table6[[#This Row],[Product name]],'product details'!$A$2:$C$9,3,0)</f>
        <v>hp</v>
      </c>
      <c r="I41">
        <v>150000</v>
      </c>
      <c r="J41" t="str">
        <f>TEXT(Table6[[#This Row],[Date]],"mmm")</f>
        <v>Dec</v>
      </c>
    </row>
    <row r="42" spans="1:10" x14ac:dyDescent="0.3">
      <c r="A42">
        <v>19091</v>
      </c>
      <c r="B42" t="s">
        <v>8</v>
      </c>
      <c r="C42" s="1">
        <v>46014</v>
      </c>
      <c r="D42">
        <v>2</v>
      </c>
      <c r="G42" t="str">
        <f>VLOOKUP(Table6[[#This Row],[Product name]],Table1[],2,FALSE)</f>
        <v>storage</v>
      </c>
      <c r="H42" t="str">
        <f>VLOOKUP(Table6[[#This Row],[Product name]],'product details'!$A$2:$C$9,3,0)</f>
        <v>70gb</v>
      </c>
      <c r="I42">
        <v>150000</v>
      </c>
      <c r="J42" t="str">
        <f>TEXT(Table6[[#This Row],[Date]],"mmm")</f>
        <v>Dec</v>
      </c>
    </row>
    <row r="43" spans="1:10" x14ac:dyDescent="0.3">
      <c r="A43">
        <v>19092</v>
      </c>
      <c r="B43" t="s">
        <v>4</v>
      </c>
      <c r="C43" s="1">
        <v>46015</v>
      </c>
      <c r="D43">
        <v>7</v>
      </c>
      <c r="G43" t="str">
        <f>VLOOKUP(Table6[[#This Row],[Product name]],Table1[],2,FALSE)</f>
        <v>accessories</v>
      </c>
      <c r="H43" t="str">
        <f>VLOOKUP(Table6[[#This Row],[Product name]],'product details'!$A$2:$C$9,3,0)</f>
        <v>samsung</v>
      </c>
      <c r="I43">
        <v>150000</v>
      </c>
      <c r="J43" t="str">
        <f>TEXT(Table6[[#This Row],[Date]],"mmm")</f>
        <v>Dec</v>
      </c>
    </row>
    <row r="44" spans="1:10" x14ac:dyDescent="0.3">
      <c r="A44">
        <v>19093</v>
      </c>
      <c r="B44" t="s">
        <v>1</v>
      </c>
      <c r="C44" s="1">
        <v>46016</v>
      </c>
      <c r="D44">
        <v>8</v>
      </c>
      <c r="G44" t="str">
        <f>VLOOKUP(Table6[[#This Row],[Product name]],Table1[],2,FALSE)</f>
        <v>electronics</v>
      </c>
      <c r="H44" t="str">
        <f>VLOOKUP(Table6[[#This Row],[Product name]],'product details'!$A$2:$C$9,3,0)</f>
        <v>iphone</v>
      </c>
      <c r="I44">
        <v>150000</v>
      </c>
      <c r="J44" t="str">
        <f>TEXT(Table6[[#This Row],[Date]],"mmm")</f>
        <v>Dec</v>
      </c>
    </row>
    <row r="45" spans="1:10" x14ac:dyDescent="0.3">
      <c r="A45">
        <v>19094</v>
      </c>
      <c r="B45" t="s">
        <v>2</v>
      </c>
      <c r="C45" s="1">
        <v>46017</v>
      </c>
      <c r="D45">
        <v>4</v>
      </c>
      <c r="G45" t="str">
        <f>VLOOKUP(Table6[[#This Row],[Product name]],Table1[],2,FALSE)</f>
        <v>electronics</v>
      </c>
      <c r="H45" t="str">
        <f>VLOOKUP(Table6[[#This Row],[Product name]],'product details'!$A$2:$C$9,3,0)</f>
        <v>dell</v>
      </c>
      <c r="I45">
        <v>150000</v>
      </c>
      <c r="J45" t="str">
        <f>TEXT(Table6[[#This Row],[Date]],"mmm")</f>
        <v>Dec</v>
      </c>
    </row>
    <row r="46" spans="1:10" x14ac:dyDescent="0.3">
      <c r="A46">
        <v>19095</v>
      </c>
      <c r="B46" t="s">
        <v>3</v>
      </c>
      <c r="C46" s="1">
        <v>46018</v>
      </c>
      <c r="D46">
        <v>3</v>
      </c>
      <c r="G46" t="str">
        <f>VLOOKUP(Table6[[#This Row],[Product name]],Table1[],2,FALSE)</f>
        <v>accessories</v>
      </c>
      <c r="H46" t="str">
        <f>VLOOKUP(Table6[[#This Row],[Product name]],'product details'!$A$2:$C$9,3,0)</f>
        <v>realme</v>
      </c>
      <c r="I46">
        <v>150000</v>
      </c>
      <c r="J46" t="str">
        <f>TEXT(Table6[[#This Row],[Date]],"mmm")</f>
        <v>Dec</v>
      </c>
    </row>
    <row r="47" spans="1:10" x14ac:dyDescent="0.3">
      <c r="A47">
        <v>19096</v>
      </c>
      <c r="B47" t="s">
        <v>9</v>
      </c>
      <c r="C47" s="1">
        <v>46019</v>
      </c>
      <c r="D47">
        <v>8</v>
      </c>
      <c r="G47" t="str">
        <f>VLOOKUP(Table6[[#This Row],[Product name]],Table1[],2,FALSE)</f>
        <v>electronics</v>
      </c>
      <c r="H47" t="str">
        <f>VLOOKUP(Table6[[#This Row],[Product name]],'product details'!$A$2:$C$9,3,0)</f>
        <v>wearfit</v>
      </c>
      <c r="I47">
        <v>150000</v>
      </c>
      <c r="J47" t="str">
        <f>TEXT(Table6[[#This Row],[Date]],"mmm")</f>
        <v>Dec</v>
      </c>
    </row>
    <row r="48" spans="1:10" x14ac:dyDescent="0.3">
      <c r="A48">
        <v>19097</v>
      </c>
      <c r="B48" t="s">
        <v>7</v>
      </c>
      <c r="C48" s="1">
        <v>46020</v>
      </c>
      <c r="D48">
        <v>4</v>
      </c>
      <c r="G48" t="str">
        <f>VLOOKUP(Table6[[#This Row],[Product name]],Table1[],2,FALSE)</f>
        <v>accessories</v>
      </c>
      <c r="H48" t="str">
        <f>VLOOKUP(Table6[[#This Row],[Product name]],'product details'!$A$2:$C$9,3,0)</f>
        <v>hp</v>
      </c>
      <c r="I48">
        <v>150000</v>
      </c>
      <c r="J48" t="str">
        <f>TEXT(Table6[[#This Row],[Date]],"mmm")</f>
        <v>Dec</v>
      </c>
    </row>
    <row r="49" spans="1:10" x14ac:dyDescent="0.3">
      <c r="A49">
        <v>19098</v>
      </c>
      <c r="B49" t="s">
        <v>8</v>
      </c>
      <c r="C49" s="1">
        <v>46021</v>
      </c>
      <c r="D49">
        <v>3</v>
      </c>
      <c r="G49" t="str">
        <f>VLOOKUP(Table6[[#This Row],[Product name]],Table1[],2,FALSE)</f>
        <v>storage</v>
      </c>
      <c r="H49" t="str">
        <f>VLOOKUP(Table6[[#This Row],[Product name]],'product details'!$A$2:$C$9,3,0)</f>
        <v>70gb</v>
      </c>
      <c r="I49">
        <v>150000</v>
      </c>
      <c r="J49" t="str">
        <f>TEXT(Table6[[#This Row],[Date]],"mmm")</f>
        <v>Dec</v>
      </c>
    </row>
    <row r="50" spans="1:10" x14ac:dyDescent="0.3">
      <c r="A50">
        <v>19099</v>
      </c>
      <c r="B50" t="s">
        <v>4</v>
      </c>
      <c r="C50" s="1">
        <v>46022</v>
      </c>
      <c r="D50">
        <v>2</v>
      </c>
      <c r="G50" t="str">
        <f>VLOOKUP(Table6[[#This Row],[Product name]],Table1[],2,FALSE)</f>
        <v>accessories</v>
      </c>
      <c r="H50" t="str">
        <f>VLOOKUP(Table6[[#This Row],[Product name]],'product details'!$A$2:$C$9,3,0)</f>
        <v>samsung</v>
      </c>
      <c r="I50">
        <v>150000</v>
      </c>
      <c r="J50" t="str">
        <f>TEXT(Table6[[#This Row],[Date]],"mmm")</f>
        <v>Dec</v>
      </c>
    </row>
    <row r="51" spans="1:10" x14ac:dyDescent="0.3">
      <c r="A51">
        <v>19100</v>
      </c>
      <c r="B51" t="s">
        <v>1</v>
      </c>
      <c r="C51" s="1">
        <v>46023</v>
      </c>
      <c r="D51">
        <v>8</v>
      </c>
      <c r="G51" t="str">
        <f>VLOOKUP(Table6[[#This Row],[Product name]],Table1[],2,FALSE)</f>
        <v>electronics</v>
      </c>
      <c r="H51" t="str">
        <f>VLOOKUP(Table6[[#This Row],[Product name]],'product details'!$A$2:$C$9,3,0)</f>
        <v>iphone</v>
      </c>
      <c r="I51">
        <v>150000</v>
      </c>
      <c r="J51" t="str">
        <f>TEXT(Table6[[#This Row],[Date]],"mmm")</f>
        <v>Jan</v>
      </c>
    </row>
  </sheetData>
  <sortState xmlns:xlrd2="http://schemas.microsoft.com/office/spreadsheetml/2017/richdata2" ref="A1:F1">
    <sortCondition descending="1" ref="D1"/>
  </sortState>
  <phoneticPr fontId="2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CE9D5-D080-41D9-87F6-D226F2A6D5A1}">
  <dimension ref="A1"/>
  <sheetViews>
    <sheetView topLeftCell="A8" workbookViewId="0">
      <selection activeCell="F29" sqref="F29:F34"/>
    </sheetView>
  </sheetViews>
  <sheetFormatPr defaultRowHeight="14.4" x14ac:dyDescent="0.3"/>
  <cols>
    <col min="3" max="3" width="18.77734375" customWidth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E9D06-83C3-4A1B-B064-BC9B41EC16AE}">
  <dimension ref="A1:L23"/>
  <sheetViews>
    <sheetView workbookViewId="0">
      <selection activeCell="E18" sqref="E18"/>
    </sheetView>
  </sheetViews>
  <sheetFormatPr defaultRowHeight="14.4" x14ac:dyDescent="0.3"/>
  <cols>
    <col min="1" max="1" width="12.21875" customWidth="1"/>
    <col min="2" max="2" width="13.21875" customWidth="1"/>
    <col min="3" max="3" width="14.44140625" customWidth="1"/>
    <col min="4" max="4" width="20.109375" customWidth="1"/>
    <col min="5" max="5" width="22.5546875" customWidth="1"/>
    <col min="9" max="9" width="13.21875" customWidth="1"/>
    <col min="10" max="10" width="13.44140625" customWidth="1"/>
    <col min="11" max="11" width="11.44140625" customWidth="1"/>
  </cols>
  <sheetData>
    <row r="1" spans="1:12" x14ac:dyDescent="0.3">
      <c r="B1" s="2" t="s">
        <v>36</v>
      </c>
    </row>
    <row r="2" spans="1:12" x14ac:dyDescent="0.3">
      <c r="A2" s="3" t="s">
        <v>12</v>
      </c>
      <c r="B2" s="3" t="s">
        <v>11</v>
      </c>
      <c r="C2" s="3" t="s">
        <v>24</v>
      </c>
      <c r="K2" s="3" t="str" cm="1">
        <f t="array" ref="K2:K6">_xlfn.UNIQUE('product data entry'!J:J)</f>
        <v>Month name</v>
      </c>
      <c r="L2" s="3" t="s">
        <v>60</v>
      </c>
    </row>
    <row r="3" spans="1:12" x14ac:dyDescent="0.3">
      <c r="A3" s="4" t="s">
        <v>2</v>
      </c>
      <c r="B3" s="4" t="s">
        <v>5</v>
      </c>
      <c r="C3" s="4" t="s">
        <v>17</v>
      </c>
      <c r="K3" s="4" t="str">
        <v>Nov</v>
      </c>
      <c r="L3" s="4">
        <f>SUMIF(Table6[Month name],'product details'!K3,'product data entry'!$F:$F)</f>
        <v>2135500</v>
      </c>
    </row>
    <row r="4" spans="1:12" x14ac:dyDescent="0.3">
      <c r="A4" s="4" t="s">
        <v>3</v>
      </c>
      <c r="B4" s="4" t="s">
        <v>6</v>
      </c>
      <c r="C4" s="4" t="s">
        <v>18</v>
      </c>
      <c r="K4" s="4" t="str">
        <v>Dec</v>
      </c>
      <c r="L4" s="4">
        <f>SUMIF(Table6[Month name],'product details'!K4,'product data entry'!$F:$F)</f>
        <v>0</v>
      </c>
    </row>
    <row r="5" spans="1:12" x14ac:dyDescent="0.3">
      <c r="A5" s="4" t="s">
        <v>7</v>
      </c>
      <c r="B5" s="4" t="s">
        <v>6</v>
      </c>
      <c r="C5" s="4" t="s">
        <v>19</v>
      </c>
      <c r="K5" s="4" t="str">
        <v>Jan</v>
      </c>
      <c r="L5" s="4">
        <f>SUMIF(Table6[Month name],'product details'!K5,'product data entry'!$F:$F)</f>
        <v>0</v>
      </c>
    </row>
    <row r="6" spans="1:12" x14ac:dyDescent="0.3">
      <c r="A6" s="4" t="s">
        <v>1</v>
      </c>
      <c r="B6" s="4" t="s">
        <v>5</v>
      </c>
      <c r="C6" s="4" t="s">
        <v>20</v>
      </c>
      <c r="E6" s="26" t="s">
        <v>57</v>
      </c>
      <c r="F6" s="26"/>
      <c r="K6">
        <v>0</v>
      </c>
    </row>
    <row r="7" spans="1:12" x14ac:dyDescent="0.3">
      <c r="A7" s="4" t="s">
        <v>9</v>
      </c>
      <c r="B7" s="4" t="s">
        <v>5</v>
      </c>
      <c r="C7" s="4" t="s">
        <v>21</v>
      </c>
      <c r="E7" s="4" t="s">
        <v>54</v>
      </c>
      <c r="F7" s="4">
        <v>3000</v>
      </c>
    </row>
    <row r="8" spans="1:12" x14ac:dyDescent="0.3">
      <c r="A8" s="4" t="s">
        <v>8</v>
      </c>
      <c r="B8" s="4" t="s">
        <v>10</v>
      </c>
      <c r="C8" s="4" t="s">
        <v>22</v>
      </c>
      <c r="E8" s="4" t="s">
        <v>58</v>
      </c>
      <c r="F8" s="4">
        <v>150000</v>
      </c>
    </row>
    <row r="9" spans="1:12" x14ac:dyDescent="0.3">
      <c r="A9" s="4" t="s">
        <v>4</v>
      </c>
      <c r="B9" s="4" t="s">
        <v>6</v>
      </c>
      <c r="C9" s="4" t="s">
        <v>23</v>
      </c>
      <c r="E9" s="4" t="s">
        <v>59</v>
      </c>
      <c r="F9" s="4">
        <v>50</v>
      </c>
    </row>
    <row r="10" spans="1:12" x14ac:dyDescent="0.3">
      <c r="E10" s="27" t="s">
        <v>70</v>
      </c>
      <c r="F10" s="27">
        <v>3500</v>
      </c>
    </row>
    <row r="14" spans="1:12" x14ac:dyDescent="0.3">
      <c r="A14" s="16" t="s">
        <v>37</v>
      </c>
      <c r="B14" s="17"/>
    </row>
    <row r="15" spans="1:12" x14ac:dyDescent="0.3">
      <c r="A15" s="3" t="s">
        <v>16</v>
      </c>
      <c r="B15" s="3" t="s">
        <v>15</v>
      </c>
      <c r="I15" s="18" t="s">
        <v>35</v>
      </c>
      <c r="J15" s="19"/>
    </row>
    <row r="16" spans="1:12" x14ac:dyDescent="0.3">
      <c r="A16" s="4" t="s">
        <v>27</v>
      </c>
      <c r="B16" s="4">
        <f>SUMIF(Table1[category],B4,'product data entry'!F2:F16)</f>
        <v>590500</v>
      </c>
      <c r="I16" s="3" t="s">
        <v>26</v>
      </c>
      <c r="J16" s="3" t="s">
        <v>28</v>
      </c>
    </row>
    <row r="17" spans="1:10" x14ac:dyDescent="0.3">
      <c r="A17" s="4" t="s">
        <v>6</v>
      </c>
      <c r="B17" s="4">
        <f>SUMIF(Table1[category],B5,'product data entry'!F3:F17)</f>
        <v>598000</v>
      </c>
      <c r="I17" s="4" t="s">
        <v>29</v>
      </c>
      <c r="J17" s="4">
        <f ca="1">SUMIF(Table6[Product name],'product data entry'!B3,'product data entry'!E2:E16)</f>
        <v>156000</v>
      </c>
    </row>
    <row r="18" spans="1:10" x14ac:dyDescent="0.3">
      <c r="A18" s="4" t="s">
        <v>10</v>
      </c>
      <c r="B18" s="4">
        <f>SUMIF(Table1[category],B6,'product data entry'!F4:F18)</f>
        <v>190500</v>
      </c>
      <c r="I18" s="4" t="s">
        <v>30</v>
      </c>
      <c r="J18" s="4">
        <f ca="1">SUMIF(Table6[Product name],'product data entry'!B4,'product data entry'!E3:E17)</f>
        <v>90000</v>
      </c>
    </row>
    <row r="19" spans="1:10" x14ac:dyDescent="0.3">
      <c r="I19" s="4" t="s">
        <v>31</v>
      </c>
      <c r="J19" s="4">
        <f ca="1">SUMIF(Table6[Product name],'product data entry'!B5,'product data entry'!E4:E18)</f>
        <v>77000</v>
      </c>
    </row>
    <row r="20" spans="1:10" x14ac:dyDescent="0.3">
      <c r="I20" s="4" t="s">
        <v>32</v>
      </c>
      <c r="J20" s="4">
        <f ca="1">SUMIF(Table6[Product name],'product data entry'!B6,'product data entry'!E5:E19)</f>
        <v>45000</v>
      </c>
    </row>
    <row r="21" spans="1:10" x14ac:dyDescent="0.3">
      <c r="I21" s="4" t="s">
        <v>33</v>
      </c>
      <c r="J21" s="4">
        <f ca="1">SUMIF(Table6[Product name],'product data entry'!B7,'product data entry'!E6:E20)</f>
        <v>45000</v>
      </c>
    </row>
    <row r="22" spans="1:10" x14ac:dyDescent="0.3">
      <c r="I22" s="4" t="s">
        <v>8</v>
      </c>
      <c r="J22" s="4">
        <f ca="1">SUMIF(Table6[Product name],'product data entry'!B8,'product data entry'!E7:E21)</f>
        <v>23900</v>
      </c>
    </row>
    <row r="23" spans="1:10" x14ac:dyDescent="0.3">
      <c r="I23" s="4" t="s">
        <v>34</v>
      </c>
      <c r="J23" s="4">
        <f ca="1">SUMIF(Table6[Product name],'product data entry'!B9,'product data entry'!E8:E22)</f>
        <v>10400</v>
      </c>
    </row>
  </sheetData>
  <mergeCells count="3">
    <mergeCell ref="A14:B14"/>
    <mergeCell ref="I15:J15"/>
    <mergeCell ref="E6:F6"/>
  </mergeCells>
  <pageMargins left="0.7" right="0.7" top="0.75" bottom="0.75" header="0.3" footer="0.3"/>
  <pageSetup paperSize="9" orientation="portrait" horizontalDpi="1200" verticalDpi="1200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DA385-0083-4FD2-835D-167B361F1E3E}">
  <dimension ref="A1:K35"/>
  <sheetViews>
    <sheetView topLeftCell="A3" workbookViewId="0">
      <selection activeCell="C21" sqref="C21"/>
    </sheetView>
  </sheetViews>
  <sheetFormatPr defaultRowHeight="14.4" x14ac:dyDescent="0.3"/>
  <cols>
    <col min="1" max="1" width="19.6640625" customWidth="1"/>
    <col min="2" max="2" width="30.5546875" customWidth="1"/>
    <col min="3" max="3" width="25.77734375" customWidth="1"/>
    <col min="5" max="5" width="16.77734375" customWidth="1"/>
    <col min="7" max="7" width="14.33203125" customWidth="1"/>
    <col min="10" max="10" width="16.33203125" customWidth="1"/>
  </cols>
  <sheetData>
    <row r="1" spans="1:10" ht="18" x14ac:dyDescent="0.35">
      <c r="A1" s="23" t="s">
        <v>47</v>
      </c>
      <c r="B1" s="24"/>
      <c r="C1" s="25"/>
    </row>
    <row r="2" spans="1:10" x14ac:dyDescent="0.3">
      <c r="A2" s="22" t="s">
        <v>49</v>
      </c>
      <c r="B2" s="4" t="s">
        <v>50</v>
      </c>
      <c r="C2" s="5">
        <f>COUNT(Table6[Date])</f>
        <v>50</v>
      </c>
    </row>
    <row r="3" spans="1:10" x14ac:dyDescent="0.3">
      <c r="A3" s="22"/>
      <c r="B3" s="4" t="s">
        <v>51</v>
      </c>
      <c r="C3" s="5">
        <f>COUNT('product data entry'!E2:E16)</f>
        <v>15</v>
      </c>
    </row>
    <row r="4" spans="1:10" x14ac:dyDescent="0.3">
      <c r="A4" s="22"/>
      <c r="B4" s="4" t="s">
        <v>52</v>
      </c>
      <c r="C4" s="5">
        <f>C2-C3</f>
        <v>35</v>
      </c>
    </row>
    <row r="5" spans="1:10" ht="17.399999999999999" customHeight="1" x14ac:dyDescent="0.3">
      <c r="A5" s="22" t="s">
        <v>47</v>
      </c>
      <c r="B5" s="4" t="s">
        <v>38</v>
      </c>
      <c r="C5" s="5">
        <f>SUM('product data entry'!E2:E16)</f>
        <v>518900</v>
      </c>
      <c r="G5" s="4" t="s">
        <v>72</v>
      </c>
      <c r="H5" s="11" t="s">
        <v>55</v>
      </c>
    </row>
    <row r="6" spans="1:10" x14ac:dyDescent="0.3">
      <c r="A6" s="22"/>
      <c r="B6" s="4" t="s">
        <v>39</v>
      </c>
      <c r="C6" s="5">
        <f>C5-C7</f>
        <v>466400</v>
      </c>
      <c r="G6" s="4" t="s">
        <v>71</v>
      </c>
      <c r="H6" s="12" t="s">
        <v>56</v>
      </c>
    </row>
    <row r="7" spans="1:10" x14ac:dyDescent="0.3">
      <c r="A7" s="22"/>
      <c r="B7" s="4" t="s">
        <v>40</v>
      </c>
      <c r="C7" s="5">
        <f>'product details'!F10*'Sales block'!C3</f>
        <v>52500</v>
      </c>
    </row>
    <row r="8" spans="1:10" ht="14.4" hidden="1" customHeight="1" x14ac:dyDescent="0.3">
      <c r="A8" s="6"/>
      <c r="B8" s="4"/>
      <c r="C8" s="5"/>
    </row>
    <row r="9" spans="1:10" x14ac:dyDescent="0.3">
      <c r="A9" s="22" t="s">
        <v>41</v>
      </c>
      <c r="B9" s="4" t="s">
        <v>42</v>
      </c>
      <c r="C9" s="5">
        <f>'Sales block'!C5/'Sales block'!C3</f>
        <v>34593.333333333336</v>
      </c>
    </row>
    <row r="10" spans="1:10" x14ac:dyDescent="0.3">
      <c r="A10" s="22"/>
      <c r="B10" s="4" t="s">
        <v>43</v>
      </c>
      <c r="C10" s="5">
        <f>'product details'!F8-'Sales block'!C5/'Sales block'!C4</f>
        <v>135174.28571428571</v>
      </c>
    </row>
    <row r="11" spans="1:10" x14ac:dyDescent="0.3">
      <c r="A11" s="6"/>
      <c r="B11" s="4"/>
      <c r="C11" s="5"/>
    </row>
    <row r="12" spans="1:10" ht="15.6" x14ac:dyDescent="0.3">
      <c r="A12" s="7" t="s">
        <v>44</v>
      </c>
      <c r="B12" s="4" t="s">
        <v>45</v>
      </c>
      <c r="C12" s="5">
        <f>'product details'!F9*'product details'!F10</f>
        <v>175000</v>
      </c>
    </row>
    <row r="13" spans="1:10" ht="18" customHeight="1" x14ac:dyDescent="0.3">
      <c r="A13" s="7" t="s">
        <v>46</v>
      </c>
      <c r="B13" s="20" t="str" cm="1">
        <f t="array" ref="B13">_xlfn.IFS(C7-C5&gt;C6,"platinum",C7-C5&lt;C6,"silver")</f>
        <v>silver</v>
      </c>
      <c r="C13" s="21"/>
      <c r="H13" t="s">
        <v>79</v>
      </c>
      <c r="J13">
        <v>0</v>
      </c>
    </row>
    <row r="14" spans="1:10" ht="15" thickBot="1" x14ac:dyDescent="0.35">
      <c r="A14" s="8"/>
      <c r="B14" s="9"/>
      <c r="C14" s="10"/>
    </row>
    <row r="16" spans="1:10" ht="15" thickBot="1" x14ac:dyDescent="0.35"/>
    <row r="17" spans="1:11" ht="18.600000000000001" thickBot="1" x14ac:dyDescent="0.35">
      <c r="A17" s="28" t="s">
        <v>75</v>
      </c>
      <c r="B17" s="29"/>
      <c r="C17" s="30"/>
      <c r="J17" t="s">
        <v>80</v>
      </c>
      <c r="K17" s="44">
        <f>summarry!N6-summarry!N7</f>
        <v>35</v>
      </c>
    </row>
    <row r="18" spans="1:11" ht="15.6" hidden="1" x14ac:dyDescent="0.3">
      <c r="A18" s="31" t="s">
        <v>77</v>
      </c>
      <c r="B18" s="32" t="s">
        <v>73</v>
      </c>
      <c r="C18" s="33">
        <f>COUNTA('[1]Excel Syllabus Data'!D5:D105)/COUNTA('[1]Excel Syllabus Data'!C5:C105)</f>
        <v>8.9108910891089105E-2</v>
      </c>
    </row>
    <row r="19" spans="1:11" x14ac:dyDescent="0.3">
      <c r="A19" s="34"/>
      <c r="B19" s="35" t="s">
        <v>78</v>
      </c>
      <c r="C19" s="43">
        <f>(summarry!N6-summarry!N7)/100</f>
        <v>0.35</v>
      </c>
      <c r="E19" s="2"/>
      <c r="F19" s="2"/>
    </row>
    <row r="20" spans="1:11" ht="26.4" thickBot="1" x14ac:dyDescent="0.35">
      <c r="A20" s="36"/>
      <c r="B20" s="37" t="s">
        <v>74</v>
      </c>
      <c r="C20" s="38" t="str">
        <f>IF(K17&gt;30,"silver jubli","Golden jubli")</f>
        <v>silver jubli</v>
      </c>
      <c r="J20" t="s">
        <v>81</v>
      </c>
    </row>
    <row r="21" spans="1:11" ht="26.4" thickBot="1" x14ac:dyDescent="0.35">
      <c r="A21" s="39"/>
      <c r="B21" s="40"/>
      <c r="C21" s="41"/>
      <c r="J21" t="s">
        <v>84</v>
      </c>
      <c r="K21" t="s">
        <v>82</v>
      </c>
    </row>
    <row r="22" spans="1:11" x14ac:dyDescent="0.3">
      <c r="J22" t="s">
        <v>85</v>
      </c>
      <c r="K22" t="s">
        <v>83</v>
      </c>
    </row>
    <row r="35" spans="3:3" x14ac:dyDescent="0.3">
      <c r="C35" s="42"/>
    </row>
  </sheetData>
  <mergeCells count="7">
    <mergeCell ref="A17:C17"/>
    <mergeCell ref="A18:A20"/>
    <mergeCell ref="B13:C13"/>
    <mergeCell ref="A5:A7"/>
    <mergeCell ref="A9:A10"/>
    <mergeCell ref="A2:A4"/>
    <mergeCell ref="A1:C1"/>
  </mergeCells>
  <conditionalFormatting sqref="B13:C13">
    <cfRule type="containsText" dxfId="9" priority="10" stopIfTrue="1" operator="containsText" text="platinum">
      <formula>NOT(ISERROR(SEARCH("platinum",B13)))</formula>
    </cfRule>
    <cfRule type="containsText" dxfId="8" priority="11" stopIfTrue="1" operator="containsText" text="silver">
      <formula>NOT(ISERROR(SEARCH("silver",B13)))</formula>
    </cfRule>
  </conditionalFormatting>
  <conditionalFormatting sqref="A1:C1">
    <cfRule type="containsText" dxfId="7" priority="9" stopIfTrue="1" operator="containsText" text="sales block">
      <formula>NOT(ISERROR(SEARCH("sales block",A1)))</formula>
    </cfRule>
  </conditionalFormatting>
  <conditionalFormatting sqref="C18">
    <cfRule type="dataBar" priority="8">
      <dataBar>
        <cfvo type="percent" val="0"/>
        <cfvo type="percent" val="100"/>
        <color theme="4" tint="0.39997558519241921"/>
      </dataBar>
      <extLst>
        <ext xmlns:x14="http://schemas.microsoft.com/office/spreadsheetml/2009/9/main" uri="{B025F937-C7B1-47D3-B67F-A62EFF666E3E}">
          <x14:id>{1CF5AF0C-B41A-4C47-9091-82CBAB17378E}</x14:id>
        </ext>
      </extLst>
    </cfRule>
  </conditionalFormatting>
  <conditionalFormatting sqref="C20:C21">
    <cfRule type="containsText" dxfId="6" priority="3" stopIfTrue="1" operator="containsText" text="Legendary">
      <formula>NOT(ISERROR(SEARCH("Legendary",C20)))</formula>
    </cfRule>
    <cfRule type="containsText" dxfId="5" priority="4" stopIfTrue="1" operator="containsText" text="Professional">
      <formula>NOT(ISERROR(SEARCH("Professional",C20)))</formula>
    </cfRule>
    <cfRule type="containsText" dxfId="4" priority="5" stopIfTrue="1" operator="containsText" text="Rookie">
      <formula>NOT(ISERROR(SEARCH("Rookie",C20)))</formula>
    </cfRule>
    <cfRule type="containsText" dxfId="3" priority="6" stopIfTrue="1" operator="containsText" text="Uninitiated">
      <formula>NOT(ISERROR(SEARCH("Uninitiated",C20)))</formula>
    </cfRule>
    <cfRule type="containsText" dxfId="2" priority="7" stopIfTrue="1" operator="containsText" text="Skilled">
      <formula>NOT(ISERROR(SEARCH("Skilled",C20)))</formula>
    </cfRule>
  </conditionalFormatting>
  <conditionalFormatting sqref="C19">
    <cfRule type="dataBar" priority="1">
      <dataBar>
        <cfvo type="percent" val="$C$19"/>
        <cfvo type="percent" val="$C$19"/>
        <color rgb="FFFD2DD0"/>
      </dataBar>
      <extLst>
        <ext xmlns:x14="http://schemas.microsoft.com/office/spreadsheetml/2009/9/main" uri="{B025F937-C7B1-47D3-B67F-A62EFF666E3E}">
          <x14:id>{BE84F2D9-3611-411A-96E9-A4010421198D}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F5AF0C-B41A-4C47-9091-82CBAB17378E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C18</xm:sqref>
        </x14:conditionalFormatting>
        <x14:conditionalFormatting xmlns:xm="http://schemas.microsoft.com/office/excel/2006/main">
          <x14:cfRule type="dataBar" id="{BE84F2D9-3611-411A-96E9-A4010421198D}">
            <x14:dataBar minLength="0" maxLength="100" gradient="0">
              <x14:cfvo type="percent">
                <xm:f>$C$19</xm:f>
              </x14:cfvo>
              <x14:cfvo type="percent">
                <xm:f>$C$19</xm:f>
              </x14:cfvo>
              <x14:negativeFillColor rgb="FFFF0000"/>
              <x14:axisColor rgb="FF000000"/>
            </x14:dataBar>
          </x14:cfRule>
          <xm:sqref>C19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7DE54D-6540-4E18-85FB-2CB9604D61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summarry</vt:lpstr>
      <vt:lpstr>product data entry</vt:lpstr>
      <vt:lpstr>dashboard</vt:lpstr>
      <vt:lpstr>product details</vt:lpstr>
      <vt:lpstr>Sales block</vt:lpstr>
      <vt:lpstr>tot_table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revathichalampati123@outlook.com</dc:creator>
  <cp:lastModifiedBy>revathichalampati123@outlook.com</cp:lastModifiedBy>
  <dcterms:created xsi:type="dcterms:W3CDTF">2025-11-17T08:54:41Z</dcterms:created>
  <dcterms:modified xsi:type="dcterms:W3CDTF">2025-11-25T11:13:01Z</dcterms:modified>
</cp:coreProperties>
</file>